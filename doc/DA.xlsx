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ehplain\BKA\DA\"/>
    </mc:Choice>
  </mc:AlternateContent>
  <xr:revisionPtr revIDLastSave="0" documentId="13_ncr:1_{A7984587-F774-4A07-B774-2543DD157251}" xr6:coauthVersionLast="47" xr6:coauthVersionMax="47" xr10:uidLastSave="{00000000-0000-0000-0000-000000000000}"/>
  <bookViews>
    <workbookView xWindow="-110" yWindow="-110" windowWidth="19420" windowHeight="11500" firstSheet="9" activeTab="12" xr2:uid="{3EB9E31B-17D4-46A0-AF5A-6B63C81161AD}"/>
  </bookViews>
  <sheets>
    <sheet name="ns" sheetId="1" state="hidden" r:id="rId1"/>
    <sheet name="speed-old" sheetId="3" r:id="rId2"/>
    <sheet name="altitude-old" sheetId="2" state="hidden" r:id="rId3"/>
    <sheet name="speed-3.5G-UMa" sheetId="7" r:id="rId4"/>
    <sheet name="Sheet1" sheetId="16" r:id="rId5"/>
    <sheet name="speed-28G-UMi" sheetId="6" r:id="rId6"/>
    <sheet name="altitude-3.5-uma" sheetId="8" r:id="rId7"/>
    <sheet name="altitude-28-umi" sheetId="10" r:id="rId8"/>
    <sheet name="power-3.5-uma" sheetId="9" r:id="rId9"/>
    <sheet name="power-28-umi" sheetId="11" r:id="rId10"/>
    <sheet name="all" sheetId="4" r:id="rId11"/>
    <sheet name="slicing" sheetId="5" r:id="rId12"/>
    <sheet name="so sánh speed" sheetId="12" r:id="rId13"/>
    <sheet name="so sánh altitude" sheetId="14" r:id="rId14"/>
    <sheet name="so sánh power"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 i="16" l="1" a="1"/>
  <c r="J29" i="16" s="1"/>
  <c r="J30" i="16" a="1"/>
  <c r="J30" i="16" s="1"/>
  <c r="J31" i="16" a="1"/>
  <c r="J31" i="16" s="1"/>
  <c r="J32" i="16" a="1"/>
  <c r="J32" i="16" s="1"/>
  <c r="J33" i="16" a="1"/>
  <c r="J33" i="16" s="1"/>
  <c r="J34" i="16" a="1"/>
  <c r="J34" i="16" s="1"/>
  <c r="J35" i="16" a="1"/>
  <c r="J35" i="16" s="1"/>
  <c r="J28" i="16" a="1"/>
  <c r="J28" i="16" s="1"/>
  <c r="J15" i="16" a="1"/>
  <c r="J15" i="16" s="1"/>
  <c r="J16" i="16" a="1"/>
  <c r="J16" i="16" s="1"/>
  <c r="J17" i="16" a="1"/>
  <c r="J17" i="16" s="1"/>
  <c r="J18" i="16" a="1"/>
  <c r="J18" i="16" s="1"/>
  <c r="J19" i="16" a="1"/>
  <c r="J19" i="16" s="1"/>
  <c r="J20" i="16" a="1"/>
  <c r="J20" i="16" s="1"/>
  <c r="J21" i="16" a="1"/>
  <c r="J21" i="16" s="1"/>
  <c r="J22" i="16" a="1"/>
  <c r="J22" i="16" s="1"/>
  <c r="J23" i="16" a="1"/>
  <c r="J23" i="16" s="1"/>
  <c r="J24" i="16" a="1"/>
  <c r="J24" i="16" s="1"/>
  <c r="J25" i="16" a="1"/>
  <c r="J25" i="16" s="1"/>
  <c r="J14" i="16" a="1"/>
  <c r="J14" i="16" s="1"/>
  <c r="J2" i="16" a="1"/>
  <c r="J2" i="16" s="1"/>
  <c r="J3" i="16" a="1"/>
  <c r="J3" i="16" s="1"/>
  <c r="J4" i="16" a="1"/>
  <c r="J4" i="16" s="1"/>
  <c r="J5" i="16" a="1"/>
  <c r="J5" i="16" s="1"/>
  <c r="J6" i="16" a="1"/>
  <c r="J6" i="16" s="1"/>
  <c r="J7" i="16" a="1"/>
  <c r="J7" i="16" s="1"/>
  <c r="J8" i="16" a="1"/>
  <c r="J8" i="16" s="1"/>
  <c r="J9" i="16" a="1"/>
  <c r="J9" i="16" s="1"/>
  <c r="J10" i="16" a="1"/>
  <c r="J10" i="16" s="1"/>
  <c r="J11" i="16" a="1"/>
  <c r="J11" i="16" s="1"/>
  <c r="J12" i="16" a="1"/>
  <c r="J12" i="16" s="1"/>
  <c r="J1" i="16" a="1"/>
  <c r="J1" i="16" s="1"/>
  <c r="R125" i="5" a="1"/>
  <c r="R125" i="5" s="1"/>
  <c r="R126" i="5" a="1"/>
  <c r="R126" i="5" s="1"/>
  <c r="R110" i="5" a="1"/>
  <c r="R110" i="5" s="1"/>
  <c r="R111" i="5" a="1"/>
  <c r="R111" i="5" s="1"/>
  <c r="R112" i="5" a="1"/>
  <c r="R112" i="5" s="1"/>
  <c r="R113" i="5" a="1"/>
  <c r="R113" i="5" s="1"/>
  <c r="R114" i="5" a="1"/>
  <c r="R114" i="5" s="1"/>
  <c r="R115" i="5" a="1"/>
  <c r="R115" i="5" s="1"/>
  <c r="R116" i="5" a="1"/>
  <c r="R116" i="5" s="1"/>
  <c r="R117" i="5" a="1"/>
  <c r="R117" i="5" s="1"/>
  <c r="R118" i="5" a="1"/>
  <c r="R118" i="5" s="1"/>
  <c r="R119" i="5" a="1"/>
  <c r="R119" i="5" s="1"/>
  <c r="R120" i="5" a="1"/>
  <c r="R120" i="5" s="1"/>
  <c r="R121" i="5" a="1"/>
  <c r="R121" i="5" s="1"/>
  <c r="R122" i="5" a="1"/>
  <c r="R122" i="5" s="1"/>
  <c r="R123" i="5" a="1"/>
  <c r="R123" i="5" s="1"/>
  <c r="R124" i="5" a="1"/>
  <c r="R124" i="5" s="1"/>
  <c r="R90" i="5" a="1"/>
  <c r="R90" i="5" s="1"/>
  <c r="R91" i="5" a="1"/>
  <c r="R91" i="5" s="1"/>
  <c r="R92" i="5" a="1"/>
  <c r="R92" i="5" s="1"/>
  <c r="R93" i="5" a="1"/>
  <c r="R93" i="5" s="1"/>
  <c r="R94" i="5" a="1"/>
  <c r="R94" i="5" s="1"/>
  <c r="R95" i="5" a="1"/>
  <c r="R95" i="5" s="1"/>
  <c r="R96" i="5" a="1"/>
  <c r="R96" i="5" s="1"/>
  <c r="R97" i="5" a="1"/>
  <c r="R97" i="5" s="1"/>
  <c r="R98" i="5" a="1"/>
  <c r="R98" i="5" s="1"/>
  <c r="R99" i="5" a="1"/>
  <c r="R99" i="5" s="1"/>
  <c r="R100" i="5" a="1"/>
  <c r="R100" i="5" s="1"/>
  <c r="R101" i="5" a="1"/>
  <c r="R101" i="5" s="1"/>
  <c r="R102" i="5" a="1"/>
  <c r="R102" i="5" s="1"/>
  <c r="R103" i="5" a="1"/>
  <c r="R103" i="5" s="1"/>
  <c r="R104" i="5" a="1"/>
  <c r="R104" i="5" s="1"/>
  <c r="R105" i="5" a="1"/>
  <c r="R105" i="5" s="1"/>
  <c r="R106" i="5" a="1"/>
  <c r="R106" i="5" s="1"/>
  <c r="R107" i="5" a="1"/>
  <c r="R107" i="5" s="1"/>
  <c r="R108" i="5" a="1"/>
  <c r="R108" i="5" s="1"/>
  <c r="R109" i="5" a="1"/>
  <c r="R109" i="5" s="1"/>
  <c r="R89" i="5" a="1"/>
  <c r="R89" i="5" s="1"/>
  <c r="M14" i="9" a="1"/>
  <c r="M14" i="9" s="1"/>
  <c r="L23" i="11" l="1" a="1"/>
  <c r="L23" i="11" s="1"/>
  <c r="L24" i="11" a="1"/>
  <c r="L24" i="11" s="1"/>
  <c r="L25" i="11" a="1"/>
  <c r="L25" i="11" s="1"/>
  <c r="L2" i="11" a="1"/>
  <c r="L2" i="11" s="1"/>
  <c r="L3" i="11" a="1"/>
  <c r="L3" i="11" s="1"/>
  <c r="L4" i="11" a="1"/>
  <c r="L4" i="11" s="1"/>
  <c r="L5" i="11" a="1"/>
  <c r="L5" i="11" s="1"/>
  <c r="L6" i="11" a="1"/>
  <c r="L6" i="11" s="1"/>
  <c r="L7" i="11" a="1"/>
  <c r="L7" i="11" s="1"/>
  <c r="L8" i="11" a="1"/>
  <c r="L8" i="11" s="1"/>
  <c r="L9" i="11" a="1"/>
  <c r="L9" i="11" s="1"/>
  <c r="L10" i="11" a="1"/>
  <c r="L10" i="11" s="1"/>
  <c r="L11" i="11" a="1"/>
  <c r="L11" i="11" s="1"/>
  <c r="L12" i="11" a="1"/>
  <c r="L12" i="11" s="1"/>
  <c r="L13" i="11" a="1"/>
  <c r="L13" i="11" s="1"/>
  <c r="L14" i="11" a="1"/>
  <c r="L14" i="11" s="1"/>
  <c r="L15" i="11" a="1"/>
  <c r="L15" i="11" s="1"/>
  <c r="L16" i="11" a="1"/>
  <c r="L16" i="11" s="1"/>
  <c r="L17" i="11" a="1"/>
  <c r="L17" i="11" s="1"/>
  <c r="L18" i="11" a="1"/>
  <c r="L18" i="11" s="1"/>
  <c r="L19" i="11" a="1"/>
  <c r="L19" i="11" s="1"/>
  <c r="L20" i="11" a="1"/>
  <c r="L20" i="11" s="1"/>
  <c r="L21" i="11" a="1"/>
  <c r="L21" i="11" s="1"/>
  <c r="L22" i="11" a="1"/>
  <c r="L22" i="11" s="1"/>
  <c r="L1" i="11" a="1"/>
  <c r="L1" i="11" s="1"/>
  <c r="J17" i="10" a="1"/>
  <c r="J17" i="10" s="1"/>
  <c r="J18" i="10" a="1"/>
  <c r="J18" i="10" s="1"/>
  <c r="J19" i="10" a="1"/>
  <c r="J19" i="10" s="1"/>
  <c r="J20" i="10" a="1"/>
  <c r="J20" i="10" s="1"/>
  <c r="J21" i="10" a="1"/>
  <c r="J21" i="10" s="1"/>
  <c r="J22" i="10" a="1"/>
  <c r="J22" i="10" s="1"/>
  <c r="J23" i="10" a="1"/>
  <c r="J23" i="10" s="1"/>
  <c r="J24" i="10" a="1"/>
  <c r="J24" i="10" s="1"/>
  <c r="J25" i="10" a="1"/>
  <c r="J25" i="10" s="1"/>
  <c r="J26" i="10" a="1"/>
  <c r="J26" i="10" s="1"/>
  <c r="J27" i="10" a="1"/>
  <c r="J27" i="10" s="1"/>
  <c r="J28" i="10" a="1"/>
  <c r="J28" i="10" s="1"/>
  <c r="J29" i="10" a="1"/>
  <c r="J29" i="10" s="1"/>
  <c r="J16" i="10" a="1"/>
  <c r="J16" i="10" s="1"/>
  <c r="J2" i="10" a="1"/>
  <c r="J2" i="10" s="1"/>
  <c r="J3" i="10" a="1"/>
  <c r="J3" i="10" s="1"/>
  <c r="J4" i="10" a="1"/>
  <c r="J4" i="10" s="1"/>
  <c r="J5" i="10" a="1"/>
  <c r="J5" i="10" s="1"/>
  <c r="J6" i="10" a="1"/>
  <c r="J6" i="10" s="1"/>
  <c r="J7" i="10" a="1"/>
  <c r="J7" i="10" s="1"/>
  <c r="J8" i="10" a="1"/>
  <c r="J8" i="10" s="1"/>
  <c r="J9" i="10" a="1"/>
  <c r="J9" i="10" s="1"/>
  <c r="J10" i="10" a="1"/>
  <c r="J10" i="10" s="1"/>
  <c r="J11" i="10" a="1"/>
  <c r="J11" i="10" s="1"/>
  <c r="J12" i="10" a="1"/>
  <c r="J12" i="10" s="1"/>
  <c r="J13" i="10" a="1"/>
  <c r="J13" i="10" s="1"/>
  <c r="J14" i="10" a="1"/>
  <c r="J14" i="10" s="1"/>
  <c r="J1" i="10" a="1"/>
  <c r="J1" i="10" s="1"/>
  <c r="M2" i="9" a="1"/>
  <c r="M2" i="9" s="1"/>
  <c r="M3" i="9" a="1"/>
  <c r="M3" i="9" s="1"/>
  <c r="M4" i="9" a="1"/>
  <c r="M4" i="9" s="1"/>
  <c r="M5" i="9" a="1"/>
  <c r="M5" i="9" s="1"/>
  <c r="M6" i="9" a="1"/>
  <c r="M6" i="9" s="1"/>
  <c r="M7" i="9" a="1"/>
  <c r="M7" i="9" s="1"/>
  <c r="M8" i="9" a="1"/>
  <c r="M8" i="9" s="1"/>
  <c r="M9" i="9" a="1"/>
  <c r="M9" i="9" s="1"/>
  <c r="M10" i="9" a="1"/>
  <c r="M10" i="9" s="1"/>
  <c r="M11" i="9" a="1"/>
  <c r="M11" i="9" s="1"/>
  <c r="M12" i="9" a="1"/>
  <c r="M12" i="9" s="1"/>
  <c r="M13" i="9" a="1"/>
  <c r="M13" i="9" s="1"/>
  <c r="M15" i="9" a="1"/>
  <c r="M15" i="9" s="1"/>
  <c r="M16" i="9" a="1"/>
  <c r="M16" i="9" s="1"/>
  <c r="M17" i="9" a="1"/>
  <c r="M17" i="9" s="1"/>
  <c r="M18" i="9" a="1"/>
  <c r="M18" i="9" s="1"/>
  <c r="M19" i="9" a="1"/>
  <c r="M19" i="9" s="1"/>
  <c r="M20" i="9" a="1"/>
  <c r="M20" i="9" s="1"/>
  <c r="M21" i="9" a="1"/>
  <c r="M21" i="9" s="1"/>
  <c r="M22" i="9" a="1"/>
  <c r="M22" i="9" s="1"/>
  <c r="M23" i="9" a="1"/>
  <c r="M23" i="9" s="1"/>
  <c r="M24" i="9" a="1"/>
  <c r="M24" i="9" s="1"/>
  <c r="M25" i="9" a="1"/>
  <c r="M25" i="9" s="1"/>
  <c r="M1" i="9" a="1"/>
  <c r="M1" i="9" s="1"/>
  <c r="J2" i="8" a="1"/>
  <c r="J2" i="8" s="1"/>
  <c r="J3" i="8" a="1"/>
  <c r="J3" i="8" s="1"/>
  <c r="J4" i="8" a="1"/>
  <c r="J4" i="8" s="1"/>
  <c r="J5" i="8" a="1"/>
  <c r="J5" i="8" s="1"/>
  <c r="J6" i="8" a="1"/>
  <c r="J6" i="8" s="1"/>
  <c r="J7" i="8" a="1"/>
  <c r="J7" i="8" s="1"/>
  <c r="J8" i="8" a="1"/>
  <c r="J8" i="8" s="1"/>
  <c r="J9" i="8" a="1"/>
  <c r="J9" i="8" s="1"/>
  <c r="J10" i="8" a="1"/>
  <c r="J10" i="8" s="1"/>
  <c r="J11" i="8" a="1"/>
  <c r="J11" i="8" s="1"/>
  <c r="J12" i="8" a="1"/>
  <c r="J12" i="8" s="1"/>
  <c r="J13" i="8" a="1"/>
  <c r="J13" i="8" s="1"/>
  <c r="J14" i="8" a="1"/>
  <c r="J14" i="8" s="1"/>
  <c r="J15" i="8" a="1"/>
  <c r="J15" i="8" s="1"/>
  <c r="J16" i="8" a="1"/>
  <c r="J16" i="8" s="1"/>
  <c r="J17" i="8" a="1"/>
  <c r="J17" i="8" s="1"/>
  <c r="J1" i="8" a="1"/>
  <c r="J1" i="8" s="1"/>
  <c r="J35" i="6" a="1"/>
  <c r="J35" i="6" s="1"/>
  <c r="J36" i="6" a="1"/>
  <c r="J36" i="6" s="1"/>
  <c r="J37" i="6" a="1"/>
  <c r="J37" i="6" s="1"/>
  <c r="J27" i="6" a="1"/>
  <c r="J27" i="6" s="1"/>
  <c r="J28" i="6" a="1"/>
  <c r="J28" i="6" s="1"/>
  <c r="J29" i="6" a="1"/>
  <c r="J29" i="6" s="1"/>
  <c r="J30" i="6" a="1"/>
  <c r="J30" i="6" s="1"/>
  <c r="J31" i="6" a="1"/>
  <c r="J31" i="6" s="1"/>
  <c r="J32" i="6" a="1"/>
  <c r="J32" i="6" s="1"/>
  <c r="J33" i="6" a="1"/>
  <c r="J33" i="6" s="1"/>
  <c r="J34" i="6" a="1"/>
  <c r="J34" i="6" s="1"/>
  <c r="J26" i="6" a="1"/>
  <c r="J26" i="6" s="1"/>
  <c r="J2" i="7" a="1"/>
  <c r="J2" i="7" s="1"/>
  <c r="J3" i="7" a="1"/>
  <c r="J3" i="7" s="1"/>
  <c r="J4" i="7" a="1"/>
  <c r="J4" i="7" s="1"/>
  <c r="J5" i="7" a="1"/>
  <c r="J5" i="7" s="1"/>
  <c r="J6" i="7" a="1"/>
  <c r="J6" i="7" s="1"/>
  <c r="J7" i="7" a="1"/>
  <c r="J7" i="7" s="1"/>
  <c r="J8" i="7" a="1"/>
  <c r="J8" i="7" s="1"/>
  <c r="J9" i="7" a="1"/>
  <c r="J9" i="7" s="1"/>
  <c r="J10" i="7" a="1"/>
  <c r="J10" i="7" s="1"/>
  <c r="J11" i="7" a="1"/>
  <c r="J11" i="7" s="1"/>
  <c r="J12" i="7" a="1"/>
  <c r="J12" i="7" s="1"/>
  <c r="J13" i="7" a="1"/>
  <c r="J13" i="7" s="1"/>
  <c r="J14" i="7" a="1"/>
  <c r="J14" i="7" s="1"/>
  <c r="J15" i="7" a="1"/>
  <c r="J15" i="7" s="1"/>
  <c r="J16" i="7" a="1"/>
  <c r="J16" i="7" s="1"/>
  <c r="J17" i="7" a="1"/>
  <c r="J17" i="7" s="1"/>
  <c r="J18" i="7" a="1"/>
  <c r="J18" i="7" s="1"/>
  <c r="J19" i="7" a="1"/>
  <c r="J19" i="7" s="1"/>
  <c r="J20" i="7" a="1"/>
  <c r="J20" i="7" s="1"/>
  <c r="J21" i="7" a="1"/>
  <c r="J21" i="7" s="1"/>
  <c r="J22" i="7" a="1"/>
  <c r="J22" i="7" s="1"/>
  <c r="J1" i="7" a="1"/>
  <c r="J1" i="7" s="1"/>
  <c r="J2" i="6" a="1"/>
  <c r="J2" i="6" s="1"/>
  <c r="J3" i="6" a="1"/>
  <c r="J3" i="6" s="1"/>
  <c r="J4" i="6" a="1"/>
  <c r="J4" i="6" s="1"/>
  <c r="J5" i="6" a="1"/>
  <c r="J5" i="6" s="1"/>
  <c r="J6" i="6" a="1"/>
  <c r="J6" i="6" s="1"/>
  <c r="J7" i="6" a="1"/>
  <c r="J7" i="6" s="1"/>
  <c r="J8" i="6" a="1"/>
  <c r="J8" i="6" s="1"/>
  <c r="J9" i="6" a="1"/>
  <c r="J9" i="6" s="1"/>
  <c r="J10" i="6" a="1"/>
  <c r="J10" i="6" s="1"/>
  <c r="J11" i="6" a="1"/>
  <c r="J11" i="6" s="1"/>
  <c r="J12" i="6" a="1"/>
  <c r="J12" i="6" s="1"/>
  <c r="J13" i="6" a="1"/>
  <c r="J13" i="6" s="1"/>
  <c r="J14" i="6" a="1"/>
  <c r="J14" i="6" s="1"/>
  <c r="J15" i="6" a="1"/>
  <c r="J15" i="6" s="1"/>
  <c r="J16" i="6" a="1"/>
  <c r="J16" i="6" s="1"/>
  <c r="J17" i="6" a="1"/>
  <c r="J17" i="6" s="1"/>
  <c r="J18" i="6" a="1"/>
  <c r="J18" i="6" s="1"/>
  <c r="J19" i="6" a="1"/>
  <c r="J19" i="6" s="1"/>
  <c r="J20" i="6" a="1"/>
  <c r="J20" i="6" s="1"/>
  <c r="J21" i="6" a="1"/>
  <c r="J21" i="6" s="1"/>
  <c r="J22" i="6" a="1"/>
  <c r="J22" i="6" s="1"/>
  <c r="J1" i="6" a="1"/>
  <c r="J1" i="6" s="1"/>
  <c r="K175" i="3" a="1"/>
  <c r="K175" i="3" s="1"/>
  <c r="K176" i="3" a="1"/>
  <c r="K176" i="3" s="1"/>
  <c r="K177" i="3" a="1"/>
  <c r="K177" i="3" s="1"/>
  <c r="K178" i="3" a="1"/>
  <c r="K178"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57" i="3" a="1"/>
  <c r="K157"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33" i="3" a="1"/>
  <c r="K133"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09" i="3" a="1"/>
  <c r="K109" i="3" s="1"/>
  <c r="K99" i="3" a="1"/>
  <c r="K99" i="3" s="1"/>
  <c r="K100" i="3" a="1"/>
  <c r="K100" i="3" s="1"/>
  <c r="K101" i="3" a="1"/>
  <c r="K101" i="3" s="1"/>
  <c r="K102" i="3" a="1"/>
  <c r="K102" i="3" s="1"/>
  <c r="K103" i="3" a="1"/>
  <c r="K103" i="3" s="1"/>
  <c r="K104" i="3" a="1"/>
  <c r="K104" i="3" s="1"/>
  <c r="K105" i="3" a="1"/>
  <c r="K105" i="3" s="1"/>
  <c r="K106" i="3" a="1"/>
  <c r="K106" i="3" s="1"/>
  <c r="K86" i="3" a="1"/>
  <c r="K86" i="3" s="1"/>
  <c r="K87" i="3" a="1"/>
  <c r="K87" i="3" s="1"/>
  <c r="K88" i="3" a="1"/>
  <c r="K88" i="3" s="1"/>
  <c r="K89" i="3" a="1"/>
  <c r="K89" i="3" s="1"/>
  <c r="K90" i="3" a="1"/>
  <c r="K90" i="3" s="1"/>
  <c r="K91" i="3" a="1"/>
  <c r="K91" i="3" s="1"/>
  <c r="K92" i="3" a="1"/>
  <c r="K92" i="3" s="1"/>
  <c r="K93" i="3" a="1"/>
  <c r="K93" i="3" s="1"/>
  <c r="K94" i="3" a="1"/>
  <c r="K94" i="3" s="1"/>
  <c r="K95" i="3" a="1"/>
  <c r="K95" i="3" s="1"/>
  <c r="K96" i="3" a="1"/>
  <c r="K96" i="3" s="1"/>
  <c r="K97" i="3" a="1"/>
  <c r="K97" i="3" s="1"/>
  <c r="K98" i="3" a="1"/>
  <c r="K98" i="3" s="1"/>
  <c r="K85" i="3" a="1"/>
  <c r="K85" i="3" s="1"/>
  <c r="K81" i="3" a="1"/>
  <c r="K81" i="3" s="1"/>
  <c r="K82" i="3" a="1"/>
  <c r="K82" i="3" s="1"/>
  <c r="K72" i="3" a="1"/>
  <c r="K72" i="3" s="1"/>
  <c r="K73" i="3" a="1"/>
  <c r="K73" i="3" s="1"/>
  <c r="K74" i="3" a="1"/>
  <c r="K74" i="3" s="1"/>
  <c r="K75" i="3" a="1"/>
  <c r="K75" i="3" s="1"/>
  <c r="K76" i="3" a="1"/>
  <c r="K76" i="3" s="1"/>
  <c r="K77" i="3" a="1"/>
  <c r="K77" i="3" s="1"/>
  <c r="K78" i="3" a="1"/>
  <c r="K78" i="3" s="1"/>
  <c r="K79" i="3" a="1"/>
  <c r="K79" i="3" s="1"/>
  <c r="K80" i="3" a="1"/>
  <c r="K80" i="3" s="1"/>
  <c r="K62" i="3" a="1"/>
  <c r="K62" i="3" s="1"/>
  <c r="K63" i="3" a="1"/>
  <c r="K63" i="3" s="1"/>
  <c r="K64" i="3" a="1"/>
  <c r="K64" i="3" s="1"/>
  <c r="K65" i="3" a="1"/>
  <c r="K65" i="3" s="1"/>
  <c r="K66" i="3" a="1"/>
  <c r="K66" i="3" s="1"/>
  <c r="K67" i="3" a="1"/>
  <c r="K67" i="3" s="1"/>
  <c r="K68" i="3" a="1"/>
  <c r="K68" i="3" s="1"/>
  <c r="K69" i="3" a="1"/>
  <c r="K69" i="3" s="1"/>
  <c r="K70" i="3" a="1"/>
  <c r="K70" i="3" s="1"/>
  <c r="K71" i="3" a="1"/>
  <c r="K71" i="3" s="1"/>
  <c r="K61" i="3" a="1"/>
  <c r="K61" i="3" s="1"/>
  <c r="AC58" i="3" a="1"/>
  <c r="AC58" i="3" s="1"/>
  <c r="AC59" i="3" a="1"/>
  <c r="AC59" i="3" s="1"/>
  <c r="AC39" i="3" a="1"/>
  <c r="AC39" i="3" s="1"/>
  <c r="AC40" i="3" a="1"/>
  <c r="AC40" i="3" s="1"/>
  <c r="AC41" i="3" a="1"/>
  <c r="AC41" i="3" s="1"/>
  <c r="AC42" i="3" a="1"/>
  <c r="AC42" i="3" s="1"/>
  <c r="AC43" i="3" a="1"/>
  <c r="AC43" i="3" s="1"/>
  <c r="AC44" i="3" a="1"/>
  <c r="AC44" i="3" s="1"/>
  <c r="AC45" i="3" a="1"/>
  <c r="AC45" i="3" s="1"/>
  <c r="AC46" i="3" a="1"/>
  <c r="AC46" i="3" s="1"/>
  <c r="AC47" i="3" a="1"/>
  <c r="AC47" i="3" s="1"/>
  <c r="AC48" i="3" a="1"/>
  <c r="AC48" i="3" s="1"/>
  <c r="AC49" i="3" a="1"/>
  <c r="AC49" i="3" s="1"/>
  <c r="AC50" i="3" a="1"/>
  <c r="AC50" i="3" s="1"/>
  <c r="AC51" i="3" a="1"/>
  <c r="AC51" i="3" s="1"/>
  <c r="AC52" i="3" a="1"/>
  <c r="AC52" i="3" s="1"/>
  <c r="AC53" i="3" a="1"/>
  <c r="AC53" i="3" s="1"/>
  <c r="AC54" i="3" a="1"/>
  <c r="AC54" i="3" s="1"/>
  <c r="AC55" i="3" a="1"/>
  <c r="AC55" i="3" s="1"/>
  <c r="AC56" i="3" a="1"/>
  <c r="AC56" i="3" s="1"/>
  <c r="AC57" i="3" a="1"/>
  <c r="AC57" i="3" s="1"/>
  <c r="AC38" i="3" a="1"/>
  <c r="AC38" i="3" s="1"/>
  <c r="K57" i="3" a="1"/>
  <c r="K57" i="3" s="1"/>
  <c r="K58" i="3" a="1"/>
  <c r="K58" i="3" s="1"/>
  <c r="K59" i="3" a="1"/>
  <c r="K59" i="3" s="1"/>
  <c r="K45" i="3" a="1"/>
  <c r="K45" i="3" s="1"/>
  <c r="K46" i="3" a="1"/>
  <c r="K46" i="3" s="1"/>
  <c r="K47" i="3" a="1"/>
  <c r="K47" i="3" s="1"/>
  <c r="K48" i="3" a="1"/>
  <c r="K48" i="3" s="1"/>
  <c r="K49" i="3" a="1"/>
  <c r="K49" i="3" s="1"/>
  <c r="K50" i="3" a="1"/>
  <c r="K50" i="3" s="1"/>
  <c r="K51" i="3" a="1"/>
  <c r="K51" i="3" s="1"/>
  <c r="K52" i="3" a="1"/>
  <c r="K52" i="3" s="1"/>
  <c r="K53" i="3" a="1"/>
  <c r="K53" i="3" s="1"/>
  <c r="K54" i="3" a="1"/>
  <c r="K54" i="3" s="1"/>
  <c r="K55" i="3" a="1"/>
  <c r="K55" i="3" s="1"/>
  <c r="K56" i="3" a="1"/>
  <c r="K56" i="3" s="1"/>
  <c r="K39" i="3" a="1"/>
  <c r="K39" i="3" s="1"/>
  <c r="K40" i="3" a="1"/>
  <c r="K40" i="3" s="1"/>
  <c r="K41" i="3" a="1"/>
  <c r="K41" i="3" s="1"/>
  <c r="K42" i="3" a="1"/>
  <c r="K42" i="3" s="1"/>
  <c r="K43" i="3" a="1"/>
  <c r="K43" i="3" s="1"/>
  <c r="K44" i="3" a="1"/>
  <c r="K44" i="3" s="1"/>
  <c r="K38" i="3" a="1"/>
  <c r="K38" i="3" s="1"/>
  <c r="K33" i="3" a="1"/>
  <c r="K33" i="3" s="1"/>
  <c r="K34" i="3" a="1"/>
  <c r="K34" i="3" s="1"/>
  <c r="K35" i="3" a="1"/>
  <c r="K35" i="3" s="1"/>
  <c r="K36" i="3" a="1"/>
  <c r="K36" i="3" s="1"/>
  <c r="K21" i="3" a="1"/>
  <c r="K21" i="3" s="1"/>
  <c r="K22" i="3" a="1"/>
  <c r="K22" i="3" s="1"/>
  <c r="K23" i="3" a="1"/>
  <c r="K23" i="3" s="1"/>
  <c r="K24" i="3" a="1"/>
  <c r="K24" i="3" s="1"/>
  <c r="K25" i="3" a="1"/>
  <c r="K25" i="3" s="1"/>
  <c r="K26" i="3" a="1"/>
  <c r="K26" i="3" s="1"/>
  <c r="K27" i="3" a="1"/>
  <c r="K27" i="3" s="1"/>
  <c r="K28" i="3" a="1"/>
  <c r="K28" i="3" s="1"/>
  <c r="K29" i="3" a="1"/>
  <c r="K29" i="3" s="1"/>
  <c r="K30" i="3" a="1"/>
  <c r="K30" i="3" s="1"/>
  <c r="K31" i="3" a="1"/>
  <c r="K31" i="3" s="1"/>
  <c r="K32" i="3" a="1"/>
  <c r="K32" i="3" s="1"/>
  <c r="K16" i="3" a="1"/>
  <c r="K16" i="3" s="1"/>
  <c r="K17" i="3" a="1"/>
  <c r="K17" i="3" s="1"/>
  <c r="K18" i="3" a="1"/>
  <c r="K18" i="3" s="1"/>
  <c r="K19" i="3" a="1"/>
  <c r="K19" i="3" s="1"/>
  <c r="K20" i="3" a="1"/>
  <c r="K20" i="3" s="1"/>
  <c r="K15" i="3" a="1"/>
  <c r="K15" i="3" s="1"/>
  <c r="K6" i="3" a="1"/>
  <c r="K6" i="3" s="1"/>
  <c r="M3" i="4" a="1"/>
  <c r="M3" i="4" s="1"/>
  <c r="M20" i="4" a="1"/>
  <c r="M20" i="4" s="1"/>
  <c r="M21" i="4" a="1"/>
  <c r="M21" i="4" s="1"/>
  <c r="M22" i="4" a="1"/>
  <c r="M22" i="4" s="1"/>
  <c r="M23" i="4" a="1"/>
  <c r="M23" i="4" s="1"/>
  <c r="M24" i="4" a="1"/>
  <c r="M24" i="4" s="1"/>
  <c r="M25" i="4" a="1"/>
  <c r="M25" i="4" s="1"/>
  <c r="M26" i="4" a="1"/>
  <c r="M26" i="4" s="1"/>
  <c r="M27" i="4" a="1"/>
  <c r="M27" i="4" s="1"/>
  <c r="M28" i="4" a="1"/>
  <c r="M28" i="4" s="1"/>
  <c r="M29" i="4" a="1"/>
  <c r="M29" i="4" s="1"/>
  <c r="M30" i="4" a="1"/>
  <c r="M30" i="4" s="1"/>
  <c r="M31" i="4" a="1"/>
  <c r="M31" i="4" s="1"/>
  <c r="M32" i="4" a="1"/>
  <c r="M32" i="4" s="1"/>
  <c r="M33" i="4" a="1"/>
  <c r="M33" i="4" s="1"/>
  <c r="M34" i="4" a="1"/>
  <c r="M34" i="4" s="1"/>
  <c r="M35" i="4" a="1"/>
  <c r="M35" i="4" s="1"/>
  <c r="M36" i="4" a="1"/>
  <c r="M36" i="4" s="1"/>
  <c r="M37" i="4" a="1"/>
  <c r="M37" i="4" s="1"/>
  <c r="M38" i="4" a="1"/>
  <c r="M38" i="4" s="1"/>
  <c r="M39" i="4" a="1"/>
  <c r="M39" i="4" s="1"/>
  <c r="M40" i="4" a="1"/>
  <c r="M40" i="4" s="1"/>
  <c r="M41" i="4" a="1"/>
  <c r="M41" i="4" s="1"/>
  <c r="M42" i="4" a="1"/>
  <c r="M42" i="4" s="1"/>
  <c r="M43" i="4" a="1"/>
  <c r="M43" i="4" s="1"/>
  <c r="M44" i="4" a="1"/>
  <c r="M44" i="4" s="1"/>
  <c r="M45" i="4" a="1"/>
  <c r="M45" i="4" s="1"/>
  <c r="M46" i="4" a="1"/>
  <c r="M46" i="4" s="1"/>
  <c r="M47" i="4" a="1"/>
  <c r="M47" i="4" s="1"/>
  <c r="M48" i="4" a="1"/>
  <c r="M48" i="4" s="1"/>
  <c r="M49" i="4" a="1"/>
  <c r="M49" i="4" s="1"/>
  <c r="M50" i="4" a="1"/>
  <c r="M50" i="4" s="1"/>
  <c r="M51" i="4" a="1"/>
  <c r="M51" i="4" s="1"/>
  <c r="M52" i="4" a="1"/>
  <c r="M52" i="4" s="1"/>
  <c r="M53" i="4" a="1"/>
  <c r="M53" i="4" s="1"/>
  <c r="M54" i="4" a="1"/>
  <c r="M54" i="4" s="1"/>
  <c r="M55" i="4" a="1"/>
  <c r="M55" i="4" s="1"/>
  <c r="M56" i="4" a="1"/>
  <c r="M56" i="4" s="1"/>
  <c r="M57" i="4" a="1"/>
  <c r="M57" i="4" s="1"/>
  <c r="M58" i="4" a="1"/>
  <c r="M58" i="4" s="1"/>
  <c r="M59" i="4" a="1"/>
  <c r="M59" i="4" s="1"/>
  <c r="M60" i="4" a="1"/>
  <c r="M60" i="4" s="1"/>
  <c r="M61" i="4" a="1"/>
  <c r="M61" i="4" s="1"/>
  <c r="M62" i="4" a="1"/>
  <c r="M62" i="4" s="1"/>
  <c r="M63" i="4" a="1"/>
  <c r="M63" i="4" s="1"/>
  <c r="M64" i="4" a="1"/>
  <c r="M64" i="4" s="1"/>
  <c r="M65" i="4" a="1"/>
  <c r="M65" i="4" s="1"/>
  <c r="M66" i="4" a="1"/>
  <c r="M66" i="4" s="1"/>
  <c r="M67" i="4" a="1"/>
  <c r="M67" i="4" s="1"/>
  <c r="M68" i="4" a="1"/>
  <c r="M68" i="4" s="1"/>
  <c r="M69" i="4" a="1"/>
  <c r="M69" i="4" s="1"/>
  <c r="M70" i="4" a="1"/>
  <c r="M70" i="4" s="1"/>
  <c r="M71" i="4" a="1"/>
  <c r="M71" i="4" s="1"/>
  <c r="M72" i="4" a="1"/>
  <c r="M72" i="4" s="1"/>
  <c r="M73" i="4" a="1"/>
  <c r="M73" i="4" s="1"/>
  <c r="M74" i="4" a="1"/>
  <c r="M74" i="4" s="1"/>
  <c r="M75" i="4" a="1"/>
  <c r="M75" i="4" s="1"/>
  <c r="M76" i="4" a="1"/>
  <c r="M76" i="4" s="1"/>
  <c r="M77" i="4" a="1"/>
  <c r="M77" i="4" s="1"/>
  <c r="M78" i="4" a="1"/>
  <c r="M78" i="4" s="1"/>
  <c r="M79" i="4" a="1"/>
  <c r="M79" i="4" s="1"/>
  <c r="M80" i="4" a="1"/>
  <c r="M80" i="4" s="1"/>
  <c r="M81" i="4" a="1"/>
  <c r="M81" i="4" s="1"/>
  <c r="M82" i="4" a="1"/>
  <c r="M82" i="4" s="1"/>
  <c r="M83" i="4" a="1"/>
  <c r="M83" i="4" s="1"/>
  <c r="M84" i="4" a="1"/>
  <c r="M84" i="4" s="1"/>
  <c r="M85" i="4" a="1"/>
  <c r="M85" i="4" s="1"/>
  <c r="M86" i="4" a="1"/>
  <c r="M86" i="4" s="1"/>
  <c r="M87" i="4" a="1"/>
  <c r="M87" i="4" s="1"/>
  <c r="M88" i="4" a="1"/>
  <c r="M88" i="4" s="1"/>
  <c r="M89" i="4" a="1"/>
  <c r="M89" i="4" s="1"/>
  <c r="M90" i="4" a="1"/>
  <c r="M90" i="4" s="1"/>
  <c r="M91" i="4" a="1"/>
  <c r="M91" i="4" s="1"/>
  <c r="M92" i="4" a="1"/>
  <c r="M92" i="4" s="1"/>
  <c r="M93" i="4" a="1"/>
  <c r="M93" i="4" s="1"/>
  <c r="M94" i="4" a="1"/>
  <c r="M94" i="4" s="1"/>
  <c r="M95" i="4" a="1"/>
  <c r="M95" i="4" s="1"/>
  <c r="M96" i="4" a="1"/>
  <c r="M96" i="4" s="1"/>
  <c r="M97" i="4" a="1"/>
  <c r="M97" i="4" s="1"/>
  <c r="M98" i="4" a="1"/>
  <c r="M98" i="4" s="1"/>
  <c r="M99" i="4" a="1"/>
  <c r="M99" i="4" s="1"/>
  <c r="M100" i="4" a="1"/>
  <c r="M100" i="4" s="1"/>
  <c r="M101" i="4" a="1"/>
  <c r="M101" i="4" s="1"/>
  <c r="M102" i="4" a="1"/>
  <c r="M102" i="4" s="1"/>
  <c r="M103" i="4" a="1"/>
  <c r="M103" i="4" s="1"/>
  <c r="M104" i="4" a="1"/>
  <c r="M104" i="4" s="1"/>
  <c r="M105" i="4" a="1"/>
  <c r="M105" i="4" s="1"/>
  <c r="M106" i="4" a="1"/>
  <c r="M106" i="4" s="1"/>
  <c r="M107" i="4" a="1"/>
  <c r="M107" i="4" s="1"/>
  <c r="M108" i="4" a="1"/>
  <c r="M108" i="4" s="1"/>
  <c r="M109" i="4" a="1"/>
  <c r="M109" i="4" s="1"/>
  <c r="M110" i="4" a="1"/>
  <c r="M110" i="4" s="1"/>
  <c r="M111" i="4" a="1"/>
  <c r="M111" i="4" s="1"/>
  <c r="M112" i="4" a="1"/>
  <c r="M112" i="4" s="1"/>
  <c r="M113" i="4" a="1"/>
  <c r="M113" i="4" s="1"/>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s="1"/>
  <c r="M125" i="4" a="1"/>
  <c r="M125" i="4" s="1"/>
  <c r="M126" i="4" a="1"/>
  <c r="M126" i="4" s="1"/>
  <c r="M127" i="4" a="1"/>
  <c r="M127" i="4" s="1"/>
  <c r="M128" i="4" a="1"/>
  <c r="M128" i="4" s="1"/>
  <c r="M129" i="4" a="1"/>
  <c r="M129" i="4" s="1"/>
  <c r="M130" i="4" a="1"/>
  <c r="M130" i="4" s="1"/>
  <c r="M131" i="4" a="1"/>
  <c r="M131" i="4" s="1"/>
  <c r="M132" i="4" a="1"/>
  <c r="M132" i="4" s="1"/>
  <c r="M133" i="4" a="1"/>
  <c r="M133" i="4" s="1"/>
  <c r="M134" i="4" a="1"/>
  <c r="M134" i="4" s="1"/>
  <c r="M135" i="4" a="1"/>
  <c r="M135" i="4" s="1"/>
  <c r="M136" i="4" a="1"/>
  <c r="M136" i="4" s="1"/>
  <c r="M137" i="4" a="1"/>
  <c r="M137" i="4" s="1"/>
  <c r="M138" i="4" a="1"/>
  <c r="M138" i="4" s="1"/>
  <c r="M139" i="4" a="1"/>
  <c r="M139" i="4" s="1"/>
  <c r="M140" i="4" a="1"/>
  <c r="M140" i="4" s="1"/>
  <c r="M141" i="4" a="1"/>
  <c r="M141" i="4" s="1"/>
  <c r="M142" i="4" a="1"/>
  <c r="M142" i="4" s="1"/>
  <c r="M143" i="4" a="1"/>
  <c r="M143" i="4" s="1"/>
  <c r="M144" i="4" a="1"/>
  <c r="M144" i="4" s="1"/>
  <c r="M145" i="4" a="1"/>
  <c r="M145" i="4" s="1"/>
  <c r="M146" i="4" a="1"/>
  <c r="M146" i="4" s="1"/>
  <c r="M147" i="4" a="1"/>
  <c r="M147" i="4" s="1"/>
  <c r="M148" i="4" a="1"/>
  <c r="M148" i="4" s="1"/>
  <c r="M149" i="4" a="1"/>
  <c r="M149" i="4" s="1"/>
  <c r="M150" i="4" a="1"/>
  <c r="M150" i="4" s="1"/>
  <c r="M151" i="4" a="1"/>
  <c r="M151" i="4" s="1"/>
  <c r="M152" i="4" a="1"/>
  <c r="M152" i="4" s="1"/>
  <c r="M153" i="4" a="1"/>
  <c r="M153" i="4" s="1"/>
  <c r="M154" i="4" a="1"/>
  <c r="M154" i="4" s="1"/>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s="1"/>
  <c r="M171" i="4" a="1"/>
  <c r="M171" i="4" s="1"/>
  <c r="M172" i="4" a="1"/>
  <c r="M172" i="4" s="1"/>
  <c r="M173" i="4" a="1"/>
  <c r="M173" i="4" s="1"/>
  <c r="M174" i="4" a="1"/>
  <c r="M174" i="4" s="1"/>
  <c r="M175" i="4" a="1"/>
  <c r="M175" i="4" s="1"/>
  <c r="M176" i="4" a="1"/>
  <c r="M176" i="4" s="1"/>
  <c r="M177" i="4" a="1"/>
  <c r="M177" i="4" s="1"/>
  <c r="M178" i="4" a="1"/>
  <c r="M178" i="4" s="1"/>
  <c r="M179" i="4" a="1"/>
  <c r="M179" i="4" s="1"/>
  <c r="M180" i="4" a="1"/>
  <c r="M180" i="4" s="1"/>
  <c r="M181" i="4" a="1"/>
  <c r="M181" i="4" s="1"/>
  <c r="M182" i="4" a="1"/>
  <c r="M182" i="4" s="1"/>
  <c r="M183" i="4" a="1"/>
  <c r="M183" i="4" s="1"/>
  <c r="M184" i="4" a="1"/>
  <c r="M184" i="4" s="1"/>
  <c r="M185" i="4" a="1"/>
  <c r="M185" i="4" s="1"/>
  <c r="M186" i="4" a="1"/>
  <c r="M186" i="4" s="1"/>
  <c r="M187" i="4" a="1"/>
  <c r="M187" i="4" s="1"/>
  <c r="M188" i="4" a="1"/>
  <c r="M188" i="4" s="1"/>
  <c r="M189" i="4" a="1"/>
  <c r="M189" i="4" s="1"/>
  <c r="M190" i="4" a="1"/>
  <c r="M190" i="4" s="1"/>
  <c r="M191" i="4" a="1"/>
  <c r="M191" i="4" s="1"/>
  <c r="M192" i="4" a="1"/>
  <c r="M192" i="4" s="1"/>
  <c r="M193" i="4" a="1"/>
  <c r="M193" i="4" s="1"/>
  <c r="M194" i="4" a="1"/>
  <c r="M194" i="4" s="1"/>
  <c r="M195" i="4" a="1"/>
  <c r="M195" i="4" s="1"/>
  <c r="M196" i="4" a="1"/>
  <c r="M196" i="4" s="1"/>
  <c r="M197" i="4" a="1"/>
  <c r="M197" i="4" s="1"/>
  <c r="M198" i="4" a="1"/>
  <c r="M198" i="4" s="1"/>
  <c r="M199" i="4" a="1"/>
  <c r="M199" i="4" s="1"/>
  <c r="M200" i="4" a="1"/>
  <c r="M200" i="4" s="1"/>
  <c r="M201" i="4" a="1"/>
  <c r="M201" i="4" s="1"/>
  <c r="M202" i="4" a="1"/>
  <c r="M202" i="4" s="1"/>
  <c r="M203" i="4" a="1"/>
  <c r="M203" i="4" s="1"/>
  <c r="M204" i="4" a="1"/>
  <c r="M204" i="4" s="1"/>
  <c r="M205" i="4" a="1"/>
  <c r="M205" i="4" s="1"/>
  <c r="M206" i="4" a="1"/>
  <c r="M206" i="4" s="1"/>
  <c r="M207" i="4" a="1"/>
  <c r="M207" i="4" s="1"/>
  <c r="M208" i="4" a="1"/>
  <c r="M208" i="4" s="1"/>
  <c r="M209" i="4" a="1"/>
  <c r="M209" i="4" s="1"/>
  <c r="M210" i="4" a="1"/>
  <c r="M210" i="4" s="1"/>
  <c r="M211" i="4" a="1"/>
  <c r="M211" i="4" s="1"/>
  <c r="M212" i="4" a="1"/>
  <c r="M212" i="4" s="1"/>
  <c r="M213" i="4" a="1"/>
  <c r="M213" i="4" s="1"/>
  <c r="M214" i="4" a="1"/>
  <c r="M214" i="4" s="1"/>
  <c r="M215" i="4" a="1"/>
  <c r="M215" i="4" s="1"/>
  <c r="M216" i="4" a="1"/>
  <c r="M216" i="4" s="1"/>
  <c r="M217" i="4" a="1"/>
  <c r="M217" i="4" s="1"/>
  <c r="M218" i="4" a="1"/>
  <c r="M218" i="4" s="1"/>
  <c r="M219" i="4" a="1"/>
  <c r="M219" i="4" s="1"/>
  <c r="M220" i="4" a="1"/>
  <c r="M220" i="4" s="1"/>
  <c r="M221" i="4" a="1"/>
  <c r="M221" i="4" s="1"/>
  <c r="M222" i="4" a="1"/>
  <c r="M222" i="4" s="1"/>
  <c r="M223" i="4" a="1"/>
  <c r="M223" i="4" s="1"/>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s="1"/>
  <c r="M250" i="4" a="1"/>
  <c r="M250" i="4" s="1"/>
  <c r="M251" i="4" a="1"/>
  <c r="M251" i="4" s="1"/>
  <c r="M252" i="4" a="1"/>
  <c r="M252" i="4" s="1"/>
  <c r="M253" i="4" a="1"/>
  <c r="M253" i="4" s="1"/>
  <c r="M254" i="4" a="1"/>
  <c r="M254" i="4" s="1"/>
  <c r="M255" i="4" a="1"/>
  <c r="M255" i="4" s="1"/>
  <c r="M256" i="4" a="1"/>
  <c r="M256" i="4" s="1"/>
  <c r="M257" i="4" a="1"/>
  <c r="M257" i="4" s="1"/>
  <c r="M258" i="4" a="1"/>
  <c r="M258" i="4" s="1"/>
  <c r="M259" i="4" a="1"/>
  <c r="M259" i="4" s="1"/>
  <c r="M260" i="4" a="1"/>
  <c r="M260" i="4" s="1"/>
  <c r="M261" i="4" a="1"/>
  <c r="M261" i="4" s="1"/>
  <c r="M262" i="4" a="1"/>
  <c r="M262" i="4" s="1"/>
  <c r="M263" i="4" a="1"/>
  <c r="M263" i="4" s="1"/>
  <c r="M264" i="4" a="1"/>
  <c r="M264" i="4" s="1"/>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s="1"/>
  <c r="M279" i="4" a="1"/>
  <c r="M279" i="4" s="1"/>
  <c r="M280" i="4" a="1"/>
  <c r="M280" i="4" s="1"/>
  <c r="M281" i="4" a="1"/>
  <c r="M281" i="4" s="1"/>
  <c r="M282" i="4" a="1"/>
  <c r="M282" i="4" s="1"/>
  <c r="M283" i="4" a="1"/>
  <c r="M283" i="4" s="1"/>
  <c r="M284" i="4" a="1"/>
  <c r="M284" i="4" s="1"/>
  <c r="M285" i="4" a="1"/>
  <c r="M285" i="4" s="1"/>
  <c r="M286" i="4" a="1"/>
  <c r="M286" i="4" s="1"/>
  <c r="M287" i="4" a="1"/>
  <c r="M287" i="4" s="1"/>
  <c r="M288" i="4" a="1"/>
  <c r="M288" i="4" s="1"/>
  <c r="M289" i="4" a="1"/>
  <c r="M289" i="4" s="1"/>
  <c r="M290" i="4" a="1"/>
  <c r="M290" i="4" s="1"/>
  <c r="M291" i="4" a="1"/>
  <c r="M291" i="4" s="1"/>
  <c r="M292" i="4" a="1"/>
  <c r="M292" i="4" s="1"/>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s="1"/>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s="1"/>
  <c r="M333" i="4" a="1"/>
  <c r="M333" i="4" s="1"/>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s="1"/>
  <c r="M346" i="4" a="1"/>
  <c r="M346" i="4" s="1"/>
  <c r="M347" i="4" a="1"/>
  <c r="M347" i="4" s="1"/>
  <c r="M348" i="4" a="1"/>
  <c r="M348" i="4" s="1"/>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s="1"/>
  <c r="M397" i="4" a="1"/>
  <c r="M397" i="4" s="1"/>
  <c r="M398" i="4" a="1"/>
  <c r="M398" i="4" s="1"/>
  <c r="M399" i="4" a="1"/>
  <c r="M399" i="4" s="1"/>
  <c r="M400" i="4" a="1"/>
  <c r="M400" i="4" s="1"/>
  <c r="M401" i="4" a="1"/>
  <c r="M401" i="4" s="1"/>
  <c r="M402" i="4" a="1"/>
  <c r="M402" i="4" s="1"/>
  <c r="M403" i="4" a="1"/>
  <c r="M403" i="4" s="1"/>
  <c r="M404" i="4" a="1"/>
  <c r="M404" i="4" s="1"/>
  <c r="M405" i="4" a="1"/>
  <c r="M405" i="4" s="1"/>
  <c r="M406" i="4" a="1"/>
  <c r="M406" i="4" s="1"/>
  <c r="M407" i="4" a="1"/>
  <c r="M407" i="4" s="1"/>
  <c r="M408" i="4" a="1"/>
  <c r="M408" i="4" s="1"/>
  <c r="M409" i="4" a="1"/>
  <c r="M409" i="4" s="1"/>
  <c r="M410" i="4" a="1"/>
  <c r="M410" i="4" s="1"/>
  <c r="M411" i="4" a="1"/>
  <c r="M411" i="4" s="1"/>
  <c r="M412" i="4" a="1"/>
  <c r="M412" i="4" s="1"/>
  <c r="M413" i="4" a="1"/>
  <c r="M413" i="4" s="1"/>
  <c r="M414" i="4" a="1"/>
  <c r="M414" i="4" s="1"/>
  <c r="M415" i="4" a="1"/>
  <c r="M415" i="4" s="1"/>
  <c r="M416" i="4" a="1"/>
  <c r="M416" i="4" s="1"/>
  <c r="M417" i="4" a="1"/>
  <c r="M417" i="4" s="1"/>
  <c r="M418" i="4" a="1"/>
  <c r="M418" i="4" s="1"/>
  <c r="M419" i="4" a="1"/>
  <c r="M419" i="4" s="1"/>
  <c r="M420" i="4" a="1"/>
  <c r="M420" i="4" s="1"/>
  <c r="M421" i="4" a="1"/>
  <c r="M421" i="4" s="1"/>
  <c r="M422" i="4" a="1"/>
  <c r="M422" i="4" s="1"/>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 i="4" a="1"/>
  <c r="M4" i="4" s="1"/>
  <c r="M5" i="4" a="1"/>
  <c r="M5" i="4" s="1"/>
  <c r="M6" i="4" a="1"/>
  <c r="M6" i="4" s="1"/>
  <c r="M7" i="4" a="1"/>
  <c r="M7" i="4" s="1"/>
  <c r="M8" i="4" a="1"/>
  <c r="M8" i="4" s="1"/>
  <c r="M9" i="4" a="1"/>
  <c r="M9" i="4" s="1"/>
  <c r="M10" i="4" a="1"/>
  <c r="M10" i="4" s="1"/>
  <c r="M11" i="4" a="1"/>
  <c r="M11" i="4" s="1"/>
  <c r="M12" i="4" a="1"/>
  <c r="M12" i="4" s="1"/>
  <c r="M13" i="4" a="1"/>
  <c r="M13" i="4" s="1"/>
  <c r="M14" i="4" a="1"/>
  <c r="M14" i="4" s="1"/>
  <c r="M15" i="4" a="1"/>
  <c r="M15" i="4" s="1"/>
  <c r="M16" i="4" a="1"/>
  <c r="M16" i="4" s="1"/>
  <c r="M17" i="4" a="1"/>
  <c r="M17" i="4" s="1"/>
  <c r="M18" i="4" a="1"/>
  <c r="M18" i="4" s="1"/>
  <c r="M19" i="4" a="1"/>
  <c r="M19" i="4" s="1"/>
  <c r="M1" i="4" a="1"/>
  <c r="M1" i="4" s="1"/>
  <c r="J2" i="2" a="1"/>
  <c r="J2" i="2" s="1"/>
  <c r="J3" i="2" a="1"/>
  <c r="J3" i="2" s="1"/>
  <c r="J4" i="2" a="1"/>
  <c r="J4" i="2" s="1"/>
  <c r="J5" i="2" a="1"/>
  <c r="J5" i="2" s="1"/>
  <c r="J6" i="2" a="1"/>
  <c r="J6" i="2" s="1"/>
  <c r="J7" i="2" a="1"/>
  <c r="J7" i="2" s="1"/>
  <c r="J8" i="2" a="1"/>
  <c r="J8" i="2" s="1"/>
  <c r="J9" i="2" a="1"/>
  <c r="J9" i="2" s="1"/>
  <c r="J10" i="2" a="1"/>
  <c r="J10" i="2" s="1"/>
  <c r="J11" i="2" a="1"/>
  <c r="J11" i="2" s="1"/>
  <c r="J12" i="2" a="1"/>
  <c r="J12" i="2" s="1"/>
  <c r="J13" i="2" a="1"/>
  <c r="J13" i="2" s="1"/>
  <c r="J14" i="2" a="1"/>
  <c r="J14" i="2" s="1"/>
  <c r="J1" i="2" a="1"/>
  <c r="J1" i="2" s="1"/>
  <c r="K2" i="3" a="1"/>
  <c r="K2" i="3" s="1"/>
  <c r="K3" i="3" a="1"/>
  <c r="K3" i="3" s="1"/>
  <c r="K4" i="3" a="1"/>
  <c r="K4" i="3" s="1"/>
  <c r="K5" i="3" a="1"/>
  <c r="K5" i="3" s="1"/>
  <c r="K7" i="3" a="1"/>
  <c r="K7" i="3" s="1"/>
  <c r="K8" i="3" a="1"/>
  <c r="K8" i="3" s="1"/>
  <c r="K9" i="3" a="1"/>
  <c r="K9" i="3" s="1"/>
  <c r="K10" i="3" a="1"/>
  <c r="K10" i="3" s="1"/>
  <c r="K11" i="3" a="1"/>
  <c r="K11" i="3" s="1"/>
  <c r="K12" i="3" a="1"/>
  <c r="K12" i="3" s="1"/>
  <c r="K13" i="3" a="1"/>
  <c r="K13" i="3" s="1"/>
  <c r="K1" i="3" a="1"/>
  <c r="K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<sst xmlns="http://schemas.openxmlformats.org/spreadsheetml/2006/main" count="1150" uniqueCount="994">
  <si>
    <t>Altitude(m),AvgDelay(ms),Jitter(ms),PacketLoss(%),Throughput(Mbps),AvgSINR(dB),BLER(%)</t>
  </si>
  <si>
    <t>1.5,17.4121,0.900581,0.588865,1.91717,0,0.588865</t>
  </si>
  <si>
    <t>10,0.000502,0,99.9286,13441.7,0,99.9286</t>
  </si>
  <si>
    <t>20,17.3139,0.904965,0.606709,1.91683,0,0.606709</t>
  </si>
  <si>
    <t>30,92.5754,1.04023,65.5246,1.49825,0,65.5246</t>
  </si>
  <si>
    <t>40,16.7521,0.900151,0.571021,1.91752,0,0.571021</t>
  </si>
  <si>
    <t>50,16.8054,0.899648,0.624554,1.91649,0,0.624554</t>
  </si>
  <si>
    <t>80,17.4855,0.890559,92.1485,1.09828,0,92.1485</t>
  </si>
  <si>
    <t>100,18.0551,0.890632,28.7473,1.7847,0,28.7473</t>
  </si>
  <si>
    <t>120,0.000502,0,99.9286,13441.7,0,99.9286</t>
  </si>
  <si>
    <t>140,0.000502,0,99.9286,13441.7,0,99.9286</t>
  </si>
  <si>
    <t>160,0.000502,0,99.9286,13441.7,0,99.9286</t>
  </si>
  <si>
    <t>180,0.000502,0,99.9286,13441.7,0,99.9286</t>
  </si>
  <si>
    <t>200,0.000502,0,99.9286,13441.7,0,99.9286</t>
  </si>
  <si>
    <t>Band,TxPower(dBm),PacketSize(B),Altitude(m),Speed(m/s),AvgDelay(ms),Jitter(ms),PacketLoss(%),Throughput(Mbps)</t>
  </si>
  <si>
    <t>2.6GHz,23,128,1.5,0,0.000502,0,0,0.0568897</t>
  </si>
  <si>
    <t>2.6GHz,23,128,1.5,10,0.000502,0,0,0.0568897</t>
  </si>
  <si>
    <t>2.6GHz,23,128,1.5,30,0.000502,0,0,0.0568897</t>
  </si>
  <si>
    <t>2.6GHz,23,128,1.5,60,0.000502,0,0,0.0568897</t>
  </si>
  <si>
    <t>2.6GHz,23,128,20,0,0.000502,0,0,0.0568897</t>
  </si>
  <si>
    <t>2.6GHz,23,128,20,10,0.000502,0,0,0.0568897</t>
  </si>
  <si>
    <t>2.6GHz,23,128,20,30,0.000502,0,0,0.0568897</t>
  </si>
  <si>
    <t>2.6GHz,23,128,20,60,0.000502,0,0,0.0568897</t>
  </si>
  <si>
    <t>2.6GHz,23,128,50,0,0.000502,0,0,0.0568897</t>
  </si>
  <si>
    <t>2.6GHz,23,128,50,10,0.000502,0,0,0.0568897</t>
  </si>
  <si>
    <t>2.6GHz,23,128,50,30,0.000502,0,0,0.0568897</t>
  </si>
  <si>
    <t>2.6GHz,23,128,50,60,0.000502,0,0,0.0568897</t>
  </si>
  <si>
    <t>2.6GHz,23,128,100,0,0.000502,0,0,0.0568897</t>
  </si>
  <si>
    <t>2.6GHz,23,128,100,10,0.000502,0,0,0.0568897</t>
  </si>
  <si>
    <t>2.6GHz,23,128,100,30,0.000502,0,0,0.0568897</t>
  </si>
  <si>
    <t>2.6GHz,23,128,100,60,0.000502,0,0,0.0568897</t>
  </si>
  <si>
    <t>2.6GHz,23,512,1.5,0,0.000502,0,0,0.1957</t>
  </si>
  <si>
    <t>2.6GHz,23,512,1.5,10,0.000502,0,0,0.1957</t>
  </si>
  <si>
    <t>2.6GHz,23,512,1.5,30,0.000502,0,0,0.1957</t>
  </si>
  <si>
    <t>2.6GHz,23,512,1.5,60,0.000502,0,0,0.1957</t>
  </si>
  <si>
    <t>2.6GHz,23,512,20,0,0.000502,0,0,0.1957</t>
  </si>
  <si>
    <t>2.6GHz,23,512,20,10,0.000502,0,0,0.1957</t>
  </si>
  <si>
    <t>2.6GHz,23,512,20,30,0.000502,0,0,0.1957</t>
  </si>
  <si>
    <t>2.6GHz,23,512,20,60,0.000502,0,0,0.1957</t>
  </si>
  <si>
    <t>2.6GHz,23,512,50,0,0.000502,0,0,0.1957</t>
  </si>
  <si>
    <t>2.6GHz,23,512,50,10,0.000502,0,0,0.1957</t>
  </si>
  <si>
    <t>2.6GHz,23,512,50,30,0.000502,0,0,0.1957</t>
  </si>
  <si>
    <t>2.6GHz,23,512,50,60,0.000502,0,0,0.1957</t>
  </si>
  <si>
    <t>2.6GHz,23,512,100,0,0.000502,0,0,0.1957</t>
  </si>
  <si>
    <t>2.6GHz,23,512,100,10,0.000502,0,0,0.1957</t>
  </si>
  <si>
    <t>2.6GHz,23,512,100,30,0.000502,0,0,0.1957</t>
  </si>
  <si>
    <t>2.6GHz,23,512,100,60,0.000502,0,0,0.1957</t>
  </si>
  <si>
    <t>2.6GHz,23,1200,1.5,0,0.000502,0,0,0.444401</t>
  </si>
  <si>
    <t>2.6GHz,23,1200,1.5,10,0.000502,0,0,0.444401</t>
  </si>
  <si>
    <t>2.6GHz,23,1200,1.5,30,0.000502,0,0,0.444401</t>
  </si>
  <si>
    <t>2.6GHz,23,1200,1.5,60,0.000502,0,0,0.444401</t>
  </si>
  <si>
    <t>2.6GHz,23,1200,20,0,0.000502,0,0,0.444401</t>
  </si>
  <si>
    <t>2.6GHz,23,1200,20,10,0.000502,0,0,0.444401</t>
  </si>
  <si>
    <t>2.6GHz,23,1200,20,30,0.000502,0,0,0.444401</t>
  </si>
  <si>
    <t>2.6GHz,23,1200,20,60,0.000502,0,0,0.444401</t>
  </si>
  <si>
    <t>2.6GHz,23,1200,50,0,0.000502,0,0,0.444401</t>
  </si>
  <si>
    <t>2.6GHz,23,1200,50,10,0.000502,0,0,0.444401</t>
  </si>
  <si>
    <t>2.6GHz,23,1200,50,30,0.000502,0,0,0.444401</t>
  </si>
  <si>
    <t>2.6GHz,23,1200,50,60,0.000502,0,0,0.444401</t>
  </si>
  <si>
    <t>2.6GHz,23,1200,100,0,0.000502,0,0,0.444401</t>
  </si>
  <si>
    <t>2.6GHz,23,1200,100,10,0.000502,0,0,0.444401</t>
  </si>
  <si>
    <t>2.6GHz,23,1200,100,30,0.000502,0,0,0.444401</t>
  </si>
  <si>
    <t>2.6GHz,23,1200,100,60,0.000502,0,0,0.444401</t>
  </si>
  <si>
    <t>2.6GHz,30,128,1.5,0,0.000502,0,0,0.0568897</t>
  </si>
  <si>
    <t>2.6GHz,30,128,1.5,10,0.000502,0,0,0.0568897</t>
  </si>
  <si>
    <t>2.6GHz,30,128,1.5,30,0.000502,0,0,0.0568897</t>
  </si>
  <si>
    <t>2.6GHz,30,128,1.5,60,0.000502,0,0,0.0568897</t>
  </si>
  <si>
    <t>2.6GHz,30,128,20,0,0.000502,0,0,0.0568897</t>
  </si>
  <si>
    <t>2.6GHz,30,128,20,10,0.000502,0,0,0.0568897</t>
  </si>
  <si>
    <t>2.6GHz,30,128,20,30,0.000502,0,0,0.0568897</t>
  </si>
  <si>
    <t>2.6GHz,30,128,20,60,0.000502,0,0,0.0568897</t>
  </si>
  <si>
    <t>2.6GHz,30,128,50,0,0.000502,0,0,0.0568897</t>
  </si>
  <si>
    <t>2.6GHz,30,128,50,10,0.000502,0,0,0.0568897</t>
  </si>
  <si>
    <t>2.6GHz,30,128,50,30,0.000502,0,0,0.0568897</t>
  </si>
  <si>
    <t>2.6GHz,30,128,50,60,0.000502,0,0,0.0568897</t>
  </si>
  <si>
    <t>2.6GHz,30,128,100,0,0.000502,0,0,0.0568897</t>
  </si>
  <si>
    <t>2.6GHz,30,128,100,10,0.000502,0,0,0.0568897</t>
  </si>
  <si>
    <t>2.6GHz,30,128,100,30,0.000502,0,0,0.0568897</t>
  </si>
  <si>
    <t>2.6GHz,30,128,100,60,0.000502,0,0,0.0568897</t>
  </si>
  <si>
    <t>2.6GHz,30,512,1.5,0,0.000502,0,0,0.1957</t>
  </si>
  <si>
    <t>2.6GHz,30,512,1.5,10,0.000502,0,0,0.1957</t>
  </si>
  <si>
    <t>2.6GHz,30,512,1.5,30,0.000502,0,0,0.1957</t>
  </si>
  <si>
    <t>2.6GHz,30,512,1.5,60,0.000502,0,0,0.1957</t>
  </si>
  <si>
    <t>2.6GHz,30,512,20,0,0.000502,0,0,0.1957</t>
  </si>
  <si>
    <t>2.6GHz,30,512,20,10,0.000502,0,0,0.1957</t>
  </si>
  <si>
    <t>2.6GHz,30,512,20,30,0.000502,0,0,0.1957</t>
  </si>
  <si>
    <t>2.6GHz,30,512,20,60,0.000502,0,0,0.1957</t>
  </si>
  <si>
    <t>2.6GHz,30,512,50,0,0.000502,0,0,0.1957</t>
  </si>
  <si>
    <t>2.6GHz,30,512,50,10,0.000502,0,0,0.1957</t>
  </si>
  <si>
    <t>2.6GHz,30,512,50,30,0.000502,0,0,0.1957</t>
  </si>
  <si>
    <t>2.6GHz,30,512,50,60,0.000502,0,0,0.1957</t>
  </si>
  <si>
    <t>2.6GHz,30,512,100,0,0.000502,0,0,0.1957</t>
  </si>
  <si>
    <t>2.6GHz,30,512,100,10,0.000502,0,0,0.1957</t>
  </si>
  <si>
    <t>2.6GHz,30,512,100,30,0.000502,0,0,0.1957</t>
  </si>
  <si>
    <t>2.6GHz,30,512,100,60,0.000502,0,0,0.1957</t>
  </si>
  <si>
    <t>2.6GHz,30,1200,1.5,0,0.000502,0,0,0.444401</t>
  </si>
  <si>
    <t>2.6GHz,30,1200,1.5,10,0.000502,0,0,0.444401</t>
  </si>
  <si>
    <t>2.6GHz,30,1200,1.5,30,0.000502,0,0,0.444401</t>
  </si>
  <si>
    <t>2.6GHz,30,1200,1.5,60,0.000502,0,0,0.444401</t>
  </si>
  <si>
    <t>2.6GHz,30,1200,20,0,0.000502,0,0,0.444401</t>
  </si>
  <si>
    <t>2.6GHz,30,1200,20,10,0.000502,0,0,0.444401</t>
  </si>
  <si>
    <t>2.6GHz,30,1200,20,30,0.000502,0,0,0.444401</t>
  </si>
  <si>
    <t>2.6GHz,30,1200,20,60,0.000502,0,0,0.444401</t>
  </si>
  <si>
    <t>2.6GHz,30,1200,50,0,0.000502,0,0,0.444401</t>
  </si>
  <si>
    <t>2.6GHz,30,1200,50,10,0.000502,0,0,0.444401</t>
  </si>
  <si>
    <t>2.6GHz,30,1200,50,30,0.000502,0,0,0.444401</t>
  </si>
  <si>
    <t>2.6GHz,30,1200,50,60,0.000502,0,0,0.444401</t>
  </si>
  <si>
    <t>2.6GHz,30,1200,100,0,0.000502,0,0,0.444401</t>
  </si>
  <si>
    <t>2.6GHz,30,1200,100,10,0.000502,0,0,0.444401</t>
  </si>
  <si>
    <t>2.6GHz,30,1200,100,30,0.000502,0,0,0.444401</t>
  </si>
  <si>
    <t>2.6GHz,30,1200,100,60,0.000502,0,0,0.444401</t>
  </si>
  <si>
    <t>2.6GHz,37,128,1.5,0,0.000502,0,0,0.0568897</t>
  </si>
  <si>
    <t>2.6GHz,37,128,1.5,10,0.000502,0,0,0.0568897</t>
  </si>
  <si>
    <t>2.6GHz,37,128,1.5,30,0.000502,0,0,0.0568897</t>
  </si>
  <si>
    <t>2.6GHz,37,128,1.5,60,0.000502,0,0,0.0568897</t>
  </si>
  <si>
    <t>2.6GHz,37,128,20,0,0.000502,0,0,0.0568897</t>
  </si>
  <si>
    <t>2.6GHz,37,128,20,10,0.000502,0,0,0.0568897</t>
  </si>
  <si>
    <t>2.6GHz,37,128,20,30,0.000502,0,0,0.0568897</t>
  </si>
  <si>
    <t>2.6GHz,37,128,20,60,0.000502,0,0,0.0568897</t>
  </si>
  <si>
    <t>2.6GHz,37,128,50,0,0.000502,0,0,0.0568897</t>
  </si>
  <si>
    <t>2.6GHz,37,128,50,10,0.000502,0,0,0.0568897</t>
  </si>
  <si>
    <t>2.6GHz,37,128,50,30,0.000502,0,0,0.0568897</t>
  </si>
  <si>
    <t>2.6GHz,37,128,50,60,0.000502,0,0,0.0568897</t>
  </si>
  <si>
    <t>2.6GHz,37,128,100,0,0.000502,0,0,0.0568897</t>
  </si>
  <si>
    <t>2.6GHz,37,128,100,10,0.000502,0,0,0.0568897</t>
  </si>
  <si>
    <t>2.6GHz,37,128,100,30,0.000502,0,0,0.0568897</t>
  </si>
  <si>
    <t>2.6GHz,37,128,100,60,0.000502,0,0,0.0568897</t>
  </si>
  <si>
    <t>2.6GHz,37,512,1.5,0,0.000502,0,0,0.1957</t>
  </si>
  <si>
    <t>2.6GHz,37,512,1.5,10,0.000502,0,0,0.1957</t>
  </si>
  <si>
    <t>2.6GHz,37,512,1.5,30,0.000502,0,0,0.1957</t>
  </si>
  <si>
    <t>2.6GHz,37,512,1.5,60,0.000502,0,0,0.1957</t>
  </si>
  <si>
    <t>2.6GHz,37,512,20,0,0.000502,0,0,0.1957</t>
  </si>
  <si>
    <t>2.6GHz,37,512,20,10,0.000502,0,0,0.1957</t>
  </si>
  <si>
    <t>2.6GHz,37,512,20,30,0.000502,0,0,0.1957</t>
  </si>
  <si>
    <t>2.6GHz,37,512,20,60,0.000502,0,0,0.1957</t>
  </si>
  <si>
    <t>2.6GHz,37,512,50,0,0.000502,0,0,0.1957</t>
  </si>
  <si>
    <t>2.6GHz,37,512,50,10,0.000502,0,0,0.1957</t>
  </si>
  <si>
    <t>2.6GHz,37,512,50,30,0.000502,0,0,0.1957</t>
  </si>
  <si>
    <t>2.6GHz,37,512,50,60,0.000502,0,0,0.1957</t>
  </si>
  <si>
    <t>2.6GHz,37,512,100,0,0.000502,0,0,0.1957</t>
  </si>
  <si>
    <t>2.6GHz,37,512,100,10,0.000502,0,0,0.1957</t>
  </si>
  <si>
    <t>2.6GHz,37,512,100,30,0.000502,0,0,0.1957</t>
  </si>
  <si>
    <t>2.6GHz,37,512,100,60,0.000502,0,0,0.1957</t>
  </si>
  <si>
    <t>2.6GHz,37,1200,1.5,0,0.000502,0,0,0.444401</t>
  </si>
  <si>
    <t>2.6GHz,37,1200,1.5,10,0.000502,0,0,0.444401</t>
  </si>
  <si>
    <t>2.6GHz,37,1200,1.5,30,0.000502,0,0,0.444401</t>
  </si>
  <si>
    <t>2.6GHz,37,1200,1.5,60,0.000502,0,0,0.444401</t>
  </si>
  <si>
    <t>2.6GHz,37,1200,20,0,0.000502,0,0,0.444401</t>
  </si>
  <si>
    <t>2.6GHz,37,1200,20,10,0.000502,0,0,0.444401</t>
  </si>
  <si>
    <t>2.6GHz,37,1200,20,30,0.000502,0,0,0.444401</t>
  </si>
  <si>
    <t>2.6GHz,37,1200,20,60,0.000502,0,0,0.444401</t>
  </si>
  <si>
    <t>2.6GHz,37,1200,50,0,0.000502,0,0,0.444401</t>
  </si>
  <si>
    <t>2.6GHz,37,1200,50,10,0.000502,0,0,0.444401</t>
  </si>
  <si>
    <t>2.6GHz,37,1200,50,30,0.000502,0,0,0.444401</t>
  </si>
  <si>
    <t>2.6GHz,37,1200,50,60,0.000502,0,0,0.444401</t>
  </si>
  <si>
    <t>2.6GHz,37,1200,100,0,0.000502,0,0,0.444401</t>
  </si>
  <si>
    <t>2.6GHz,37,1200,100,10,0.000502,0,0,0.444401</t>
  </si>
  <si>
    <t>2.6GHz,37,1200,100,30,0.000502,0,0,0.444401</t>
  </si>
  <si>
    <t>2.6GHz,37,1200,100,60,0.000502,0,0,0.444401</t>
  </si>
  <si>
    <t>3.5GHz,23,128,1.5,0,0.000502,0,0,0.0568897</t>
  </si>
  <si>
    <t>3.5GHz,23,128,1.5,10,0.000502,0,0,0.0568897</t>
  </si>
  <si>
    <t>3.5GHz,23,128,1.5,30,0.000502,0,0,0.0568897</t>
  </si>
  <si>
    <t>3.5GHz,23,128,1.5,60,0.000502,0,0,0.0568897</t>
  </si>
  <si>
    <t>3.5GHz,23,128,20,0,0.000502,0,0,0.0568897</t>
  </si>
  <si>
    <t>3.5GHz,23,128,20,10,0.000502,0,0,0.0568897</t>
  </si>
  <si>
    <t>3.5GHz,23,128,20,30,0.000502,0,0,0.0568897</t>
  </si>
  <si>
    <t>3.5GHz,23,128,20,60,0.000502,0,0,0.0568897</t>
  </si>
  <si>
    <t>3.5GHz,23,128,50,0,0.000502,0,0,0.0568897</t>
  </si>
  <si>
    <t>3.5GHz,23,128,50,10,0.000502,0,0,0.0568897</t>
  </si>
  <si>
    <t>3.5GHz,23,128,50,30,0.000502,0,0,0.0568897</t>
  </si>
  <si>
    <t>3.5GHz,23,128,50,60,0.000502,0,0,0.0568897</t>
  </si>
  <si>
    <t>3.5GHz,23,128,100,0,0.000502,0,0,0.0568897</t>
  </si>
  <si>
    <t>3.5GHz,23,128,100,10,0.000502,0,0,0.0568897</t>
  </si>
  <si>
    <t>3.5GHz,23,128,100,30,0.000502,0,0,0.0568897</t>
  </si>
  <si>
    <t>3.5GHz,23,128,100,60,0.000502,0,0,0.0568897</t>
  </si>
  <si>
    <t>3.5GHz,23,512,1.5,0,0.000502,0,0,0.1957</t>
  </si>
  <si>
    <t>3.5GHz,23,512,1.5,10,0.000502,0,0,0.1957</t>
  </si>
  <si>
    <t>3.5GHz,23,512,1.5,30,0.000502,0,0,0.1957</t>
  </si>
  <si>
    <t>3.5GHz,23,512,1.5,60,0.000502,0,0,0.1957</t>
  </si>
  <si>
    <t>3.5GHz,23,512,20,0,0.000502,0,0,0.1957</t>
  </si>
  <si>
    <t>3.5GHz,23,512,20,10,0.000502,0,0,0.1957</t>
  </si>
  <si>
    <t>3.5GHz,23,512,20,30,0.000502,0,0,0.1957</t>
  </si>
  <si>
    <t>3.5GHz,23,512,20,60,0.000502,0,0,0.1957</t>
  </si>
  <si>
    <t>3.5GHz,23,512,50,0,0.000502,0,0,0.1957</t>
  </si>
  <si>
    <t>3.5GHz,23,512,50,10,0.000502,0,0,0.1957</t>
  </si>
  <si>
    <t>3.5GHz,23,512,50,30,0.000502,0,0,0.1957</t>
  </si>
  <si>
    <t>3.5GHz,23,512,50,60,0.000502,0,0,0.1957</t>
  </si>
  <si>
    <t>3.5GHz,23,512,100,0,0.000502,0,0,0.1957</t>
  </si>
  <si>
    <t>3.5GHz,23,512,100,10,0.000502,0,0,0.1957</t>
  </si>
  <si>
    <t>3.5GHz,23,512,100,30,0.000502,0,0,0.1957</t>
  </si>
  <si>
    <t>3.5GHz,23,512,100,60,0.000502,0,0,0.1957</t>
  </si>
  <si>
    <t>3.5GHz,23,1200,1.5,0,0.000502,0,0,0.444401</t>
  </si>
  <si>
    <t>3.5GHz,23,1200,1.5,10,0.000502,0,0,0.444401</t>
  </si>
  <si>
    <t>3.5GHz,23,1200,1.5,30,0.000502,0,0,0.444401</t>
  </si>
  <si>
    <t>3.5GHz,23,1200,1.5,60,0.000502,0,0,0.444401</t>
  </si>
  <si>
    <t>3.5GHz,23,1200,20,0,0.000502,0,0,0.444401</t>
  </si>
  <si>
    <t>3.5GHz,23,1200,20,10,0.000502,0,0,0.444401</t>
  </si>
  <si>
    <t>3.5GHz,23,1200,20,30,0.000502,0,0,0.444401</t>
  </si>
  <si>
    <t>3.5GHz,23,1200,20,60,0.000502,0,0,0.444401</t>
  </si>
  <si>
    <t>3.5GHz,23,1200,50,0,0.000502,0,0,0.444401</t>
  </si>
  <si>
    <t>3.5GHz,23,1200,50,10,0.000502,0,0,0.444401</t>
  </si>
  <si>
    <t>3.5GHz,23,1200,50,30,0.000502,0,0,0.444401</t>
  </si>
  <si>
    <t>3.5GHz,23,1200,50,60,0.000502,0,0,0.444401</t>
  </si>
  <si>
    <t>3.5GHz,23,1200,100,0,0.000502,0,0,0.444401</t>
  </si>
  <si>
    <t>3.5GHz,23,1200,100,10,0.000502,0,0,0.444401</t>
  </si>
  <si>
    <t>3.5GHz,23,1200,100,30,0.000502,0,0,0.444401</t>
  </si>
  <si>
    <t>3.5GHz,23,1200,100,60,0.000502,0,0,0.444401</t>
  </si>
  <si>
    <t>3.5GHz,30,128,1.5,0,0.000502,0,0,0.0568897</t>
  </si>
  <si>
    <t>3.5GHz,30,128,1.5,10,0.000502,0,0,0.0568897</t>
  </si>
  <si>
    <t>3.5GHz,30,128,1.5,30,0.000502,0,0,0.0568897</t>
  </si>
  <si>
    <t>3.5GHz,30,128,1.5,60,0.000502,0,0,0.0568897</t>
  </si>
  <si>
    <t>3.5GHz,30,128,20,0,0.000502,0,0,0.0568897</t>
  </si>
  <si>
    <t>3.5GHz,30,128,20,10,0.000502,0,0,0.0568897</t>
  </si>
  <si>
    <t>3.5GHz,30,128,20,30,0.000502,0,0,0.0568897</t>
  </si>
  <si>
    <t>3.5GHz,30,128,20,60,0.000502,0,0,0.0568897</t>
  </si>
  <si>
    <t>3.5GHz,30,128,50,0,0.000502,0,0,0.0568897</t>
  </si>
  <si>
    <t>3.5GHz,30,128,50,10,0.000502,0,0,0.0568897</t>
  </si>
  <si>
    <t>3.5GHz,30,128,50,30,0.000502,0,0,0.0568897</t>
  </si>
  <si>
    <t>3.5GHz,30,128,50,60,0.000502,0,0,0.0568897</t>
  </si>
  <si>
    <t>3.5GHz,30,128,100,0,0.000502,0,0,0.0568897</t>
  </si>
  <si>
    <t>3.5GHz,30,128,100,10,0.000502,0,0,0.0568897</t>
  </si>
  <si>
    <t>3.5GHz,30,128,100,30,0.000502,0,0,0.0568897</t>
  </si>
  <si>
    <t>3.5GHz,30,128,100,60,0.000502,0,0,0.0568897</t>
  </si>
  <si>
    <t>3.5GHz,30,512,1.5,0,0.000502,0,0,0.1957</t>
  </si>
  <si>
    <t>3.5GHz,30,512,1.5,10,0.000502,0,0,0.1957</t>
  </si>
  <si>
    <t>3.5GHz,30,512,1.5,30,0.000502,0,0,0.1957</t>
  </si>
  <si>
    <t>3.5GHz,30,512,1.5,60,0.000502,0,0,0.1957</t>
  </si>
  <si>
    <t>3.5GHz,30,512,20,0,0.000502,0,0,0.1957</t>
  </si>
  <si>
    <t>3.5GHz,30,512,20,10,0.000502,0,0,0.1957</t>
  </si>
  <si>
    <t>3.5GHz,30,512,20,30,0.000502,0,0,0.1957</t>
  </si>
  <si>
    <t>3.5GHz,30,512,20,60,0.000502,0,0,0.1957</t>
  </si>
  <si>
    <t>3.5GHz,30,512,50,0,0.000502,0,0,0.1957</t>
  </si>
  <si>
    <t>3.5GHz,30,512,50,10,0.000502,0,0,0.1957</t>
  </si>
  <si>
    <t>3.5GHz,30,512,50,30,0.000502,0,0,0.1957</t>
  </si>
  <si>
    <t>3.5GHz,30,512,50,60,0.000502,0,0,0.1957</t>
  </si>
  <si>
    <t>3.5GHz,30,512,100,0,0.000502,0,0,0.1957</t>
  </si>
  <si>
    <t>3.5GHz,30,512,100,10,0.000502,0,0,0.1957</t>
  </si>
  <si>
    <t>3.5GHz,30,512,100,30,0.000502,0,0,0.1957</t>
  </si>
  <si>
    <t>3.5GHz,30,512,100,60,0.000502,0,0,0.1957</t>
  </si>
  <si>
    <t>3.5GHz,30,1200,1.5,0,0.000502,0,0,0.444401</t>
  </si>
  <si>
    <t>3.5GHz,30,1200,1.5,10,0.000502,0,0,0.444401</t>
  </si>
  <si>
    <t>3.5GHz,30,1200,1.5,30,0.000502,0,0,0.444401</t>
  </si>
  <si>
    <t>3.5GHz,30,1200,1.5,60,0.000502,0,0,0.444401</t>
  </si>
  <si>
    <t>3.5GHz,30,1200,20,0,0.000502,0,0,0.444401</t>
  </si>
  <si>
    <t>3.5GHz,30,1200,20,10,0.000502,0,0,0.444401</t>
  </si>
  <si>
    <t>3.5GHz,30,1200,20,30,0.000502,0,0,0.444401</t>
  </si>
  <si>
    <t>3.5GHz,30,1200,20,60,0.000502,0,0,0.444401</t>
  </si>
  <si>
    <t>3.5GHz,30,1200,50,0,0.000502,0,0,0.444401</t>
  </si>
  <si>
    <t>3.5GHz,30,1200,50,10,0.000502,0,0,0.444401</t>
  </si>
  <si>
    <t>3.5GHz,30,1200,50,30,0.000502,0,0,0.444401</t>
  </si>
  <si>
    <t>3.5GHz,30,1200,50,60,0.000502,0,0,0.444401</t>
  </si>
  <si>
    <t>3.5GHz,30,1200,100,0,0.000502,0,0,0.444401</t>
  </si>
  <si>
    <t>3.5GHz,30,1200,100,10,0.000502,0,0,0.444401</t>
  </si>
  <si>
    <t>3.5GHz,30,1200,100,30,0.000502,0,0,0.444401</t>
  </si>
  <si>
    <t>3.5GHz,30,1200,100,60,0.000502,0,0,0.444401</t>
  </si>
  <si>
    <t>3.5GHz,37,128,1.5,0,0.000502,0,0,0.0568897</t>
  </si>
  <si>
    <t>3.5GHz,37,128,1.5,10,0.000502,0,0,0.0568897</t>
  </si>
  <si>
    <t>3.5GHz,37,128,1.5,30,0.000502,0,0,0.0568897</t>
  </si>
  <si>
    <t>3.5GHz,37,128,1.5,60,0.000502,0,0,0.0568897</t>
  </si>
  <si>
    <t>3.5GHz,37,128,20,0,0.000502,0,0,0.0568897</t>
  </si>
  <si>
    <t>3.5GHz,37,128,20,10,0.000502,0,0,0.0568897</t>
  </si>
  <si>
    <t>3.5GHz,37,128,20,30,0.000502,0,0,0.0568897</t>
  </si>
  <si>
    <t>3.5GHz,37,128,20,60,0.000502,0,0,0.0568897</t>
  </si>
  <si>
    <t>3.5GHz,37,128,50,0,0.000502,0,0,0.0568897</t>
  </si>
  <si>
    <t>3.5GHz,37,128,50,10,0.000502,0,0,0.0568897</t>
  </si>
  <si>
    <t>3.5GHz,37,128,50,30,0.000502,0,0,0.0568897</t>
  </si>
  <si>
    <t>3.5GHz,37,128,50,60,0.000502,0,0,0.0568897</t>
  </si>
  <si>
    <t>3.5GHz,37,128,100,0,0.000502,0,0,0.0568897</t>
  </si>
  <si>
    <t>3.5GHz,37,128,100,10,0.000502,0,0,0.0568897</t>
  </si>
  <si>
    <t>3.5GHz,37,128,100,30,0.000502,0,0,0.0568897</t>
  </si>
  <si>
    <t>3.5GHz,37,128,100,60,0.000502,0,0,0.0568897</t>
  </si>
  <si>
    <t>3.5GHz,37,512,1.5,0,0.000502,0,0,0.1957</t>
  </si>
  <si>
    <t>3.5GHz,37,512,1.5,10,0.000502,0,0,0.1957</t>
  </si>
  <si>
    <t>3.5GHz,37,512,1.5,30,0.000502,0,0,0.1957</t>
  </si>
  <si>
    <t>3.5GHz,37,512,1.5,60,0.000502,0,0,0.1957</t>
  </si>
  <si>
    <t>3.5GHz,37,512,20,0,0.000502,0,0,0.1957</t>
  </si>
  <si>
    <t>3.5GHz,37,512,20,10,0.000502,0,0,0.1957</t>
  </si>
  <si>
    <t>3.5GHz,37,512,20,30,0.000502,0,0,0.1957</t>
  </si>
  <si>
    <t>3.5GHz,37,512,20,60,0.000502,0,0,0.1957</t>
  </si>
  <si>
    <t>3.5GHz,37,512,50,0,0.000502,0,0,0.1957</t>
  </si>
  <si>
    <t>3.5GHz,37,512,50,10,0.000502,0,0,0.1957</t>
  </si>
  <si>
    <t>3.5GHz,37,512,50,30,0.000502,0,0,0.1957</t>
  </si>
  <si>
    <t>3.5GHz,37,512,50,60,0.000502,0,0,0.1957</t>
  </si>
  <si>
    <t>3.5GHz,37,512,100,0,0.000502,0,0,0.1957</t>
  </si>
  <si>
    <t>3.5GHz,37,512,100,10,0.000502,0,0,0.1957</t>
  </si>
  <si>
    <t>3.5GHz,37,512,100,30,0.000502,0,0,0.1957</t>
  </si>
  <si>
    <t>3.5GHz,37,512,100,60,0.000502,0,0,0.1957</t>
  </si>
  <si>
    <t>3.5GHz,37,1200,1.5,0,0.000502,0,0,0.444401</t>
  </si>
  <si>
    <t>3.5GHz,37,1200,1.5,10,0.000502,0,0,0.444401</t>
  </si>
  <si>
    <t>3.5GHz,37,1200,1.5,30,0.000502,0,0,0.444401</t>
  </si>
  <si>
    <t>3.5GHz,37,1200,1.5,60,0.000502,0,0,0.444401</t>
  </si>
  <si>
    <t>3.5GHz,37,1200,20,0,0.000502,0,0,0.444401</t>
  </si>
  <si>
    <t>3.5GHz,37,1200,20,10,0.000502,0,0,0.444401</t>
  </si>
  <si>
    <t>3.5GHz,37,1200,20,30,0.000502,0,0,0.444401</t>
  </si>
  <si>
    <t>3.5GHz,37,1200,20,60,0.000502,0,0,0.444401</t>
  </si>
  <si>
    <t>3.5GHz,37,1200,50,0,0.000502,0,0,0.444401</t>
  </si>
  <si>
    <t>3.5GHz,37,1200,50,10,0.000502,0,0,0.444401</t>
  </si>
  <si>
    <t>3.5GHz,37,1200,50,30,0.000502,0,0,0.444401</t>
  </si>
  <si>
    <t>3.5GHz,37,1200,50,60,0.000502,0,0,0.444401</t>
  </si>
  <si>
    <t>3.5GHz,37,1200,100,0,0.000502,0,0,0.444401</t>
  </si>
  <si>
    <t>3.5GHz,37,1200,100,10,0.000502,0,0,0.444401</t>
  </si>
  <si>
    <t>3.5GHz,37,1200,100,30,0.000502,0,0,0.444401</t>
  </si>
  <si>
    <t>3.5GHz,37,1200,100,60,0.000502,0,0,0.444401</t>
  </si>
  <si>
    <t>28GHz,23,128,1.5,0,0.000502,0,0,0.0568897</t>
  </si>
  <si>
    <t>28GHz,23,128,1.5,10,0.000502,0,0,0.0568897</t>
  </si>
  <si>
    <t>28GHz,23,128,1.5,30,0.000502,0,0,0.0568897</t>
  </si>
  <si>
    <t>28GHz,23,128,1.5,60,0.000502,0,0,0.0568897</t>
  </si>
  <si>
    <t>28GHz,23,128,20,0,0.000502,0,0,0.0568897</t>
  </si>
  <si>
    <t>28GHz,23,128,20,10,0.000502,0,0,0.0568897</t>
  </si>
  <si>
    <t>28GHz,23,128,20,30,0.000502,0,0,0.0568897</t>
  </si>
  <si>
    <t>28GHz,23,128,20,60,0.000502,0,0,0.0568897</t>
  </si>
  <si>
    <t>28GHz,23,128,50,0,0.000502,0,0,0.0568897</t>
  </si>
  <si>
    <t>28GHz,23,128,50,10,0.000502,0,0,0.0568897</t>
  </si>
  <si>
    <t>28GHz,23,128,50,30,0.000502,0,0,0.0568897</t>
  </si>
  <si>
    <t>28GHz,23,128,50,60,0.000502,0,0,0.0568897</t>
  </si>
  <si>
    <t>28GHz,23,128,100,0,0.000502,0,0,0.0568897</t>
  </si>
  <si>
    <t>28GHz,23,128,100,10,0.000502,0,0,0.0568897</t>
  </si>
  <si>
    <t>28GHz,23,128,100,30,0.000502,0,0,0.0568897</t>
  </si>
  <si>
    <t>28GHz,23,128,100,60,0.000502,0,0,0.0568897</t>
  </si>
  <si>
    <t>28GHz,23,512,1.5,0,0.000502,0,0,0.1957</t>
  </si>
  <si>
    <t>28GHz,23,512,1.5,10,0.000502,0,0,0.1957</t>
  </si>
  <si>
    <t>28GHz,23,512,1.5,30,0.000502,0,0,0.1957</t>
  </si>
  <si>
    <t>28GHz,23,512,1.5,60,0.000502,0,0,0.1957</t>
  </si>
  <si>
    <t>28GHz,23,512,20,0,0.000502,0,0,0.1957</t>
  </si>
  <si>
    <t>28GHz,23,512,20,10,0.000502,0,0,0.1957</t>
  </si>
  <si>
    <t>28GHz,23,512,20,30,0.000502,0,0,0.1957</t>
  </si>
  <si>
    <t>28GHz,23,512,20,60,0.000502,0,0,0.1957</t>
  </si>
  <si>
    <t>28GHz,23,512,50,0,0.000502,0,0,0.1957</t>
  </si>
  <si>
    <t>28GHz,23,512,50,10,0.000502,0,0,0.1957</t>
  </si>
  <si>
    <t>28GHz,23,512,50,30,0.000502,0,0,0.1957</t>
  </si>
  <si>
    <t>28GHz,23,512,50,60,0.000502,0,0,0.1957</t>
  </si>
  <si>
    <t>28GHz,23,512,100,0,0.000502,0,0,0.1957</t>
  </si>
  <si>
    <t>28GHz,23,512,100,10,0.000502,0,0,0.1957</t>
  </si>
  <si>
    <t>28GHz,23,512,100,30,0.000502,0,0,0.1957</t>
  </si>
  <si>
    <t>28GHz,23,512,100,60,0.000502,0,0,0.1957</t>
  </si>
  <si>
    <t>28GHz,23,1200,1.5,0,0.000502,0,0,0.444401</t>
  </si>
  <si>
    <t>28GHz,23,1200,1.5,10,0.000502,0,0,0.444401</t>
  </si>
  <si>
    <t>28GHz,23,1200,1.5,30,0.000502,0,0,0.444401</t>
  </si>
  <si>
    <t>28GHz,23,1200,1.5,60,0.000502,0,0,0.444401</t>
  </si>
  <si>
    <t>28GHz,23,1200,20,0,0.000502,0,0,0.444401</t>
  </si>
  <si>
    <t>28GHz,23,1200,20,10,0.000502,0,0,0.444401</t>
  </si>
  <si>
    <t>28GHz,23,1200,20,30,0.000502,0,0,0.444401</t>
  </si>
  <si>
    <t>28GHz,23,1200,20,60,0.000502,0,0,0.444401</t>
  </si>
  <si>
    <t>28GHz,23,1200,50,0,0.000502,0,0,0.444401</t>
  </si>
  <si>
    <t>28GHz,23,1200,50,10,0.000502,0,0,0.444401</t>
  </si>
  <si>
    <t>28GHz,23,1200,50,30,0.000502,0,0,0.444401</t>
  </si>
  <si>
    <t>28GHz,23,1200,50,60,0.000502,0,0,0.444401</t>
  </si>
  <si>
    <t>28GHz,23,1200,100,0,0.000502,0,0,0.444401</t>
  </si>
  <si>
    <t>28GHz,23,1200,100,10,0.000502,0,0,0.444401</t>
  </si>
  <si>
    <t>28GHz,23,1200,100,30,0.000502,0,0,0.444401</t>
  </si>
  <si>
    <t>28GHz,23,1200,100,60,0.000502,0,0,0.444401</t>
  </si>
  <si>
    <t>28GHz,30,128,1.5,0,0.000502,0,0,0.0568897</t>
  </si>
  <si>
    <t>28GHz,30,128,1.5,10,0.000502,0,0,0.0568897</t>
  </si>
  <si>
    <t>28GHz,30,128,1.5,30,0.000502,0,0,0.0568897</t>
  </si>
  <si>
    <t>28GHz,30,128,1.5,60,0.000502,0,0,0.0568897</t>
  </si>
  <si>
    <t>28GHz,30,128,20,0,0.000502,0,0,0.0568897</t>
  </si>
  <si>
    <t>28GHz,30,128,20,10,0.000502,0,0,0.0568897</t>
  </si>
  <si>
    <t>28GHz,30,128,20,30,0.000502,0,0,0.0568897</t>
  </si>
  <si>
    <t>28GHz,30,128,20,60,0.000502,0,0,0.0568897</t>
  </si>
  <si>
    <t>28GHz,30,128,50,0,0.000502,0,0,0.0568897</t>
  </si>
  <si>
    <t>28GHz,30,128,50,10,0.000502,0,0,0.0568897</t>
  </si>
  <si>
    <t>28GHz,30,128,50,30,0.000502,0,0,0.0568897</t>
  </si>
  <si>
    <t>28GHz,30,128,50,60,0.000502,0,0,0.0568897</t>
  </si>
  <si>
    <t>28GHz,30,128,100,0,0.000502,0,0,0.0568897</t>
  </si>
  <si>
    <t>28GHz,30,128,100,10,0.000502,0,0,0.0568897</t>
  </si>
  <si>
    <t>28GHz,30,128,100,30,0.000502,0,0,0.0568897</t>
  </si>
  <si>
    <t>28GHz,30,128,100,60,0.000502,0,0,0.0568897</t>
  </si>
  <si>
    <t>28GHz,30,512,1.5,0,0.000502,0,0,0.1957</t>
  </si>
  <si>
    <t>28GHz,30,512,1.5,10,0.000502,0,0,0.1957</t>
  </si>
  <si>
    <t>28GHz,30,512,1.5,30,0.000502,0,0,0.1957</t>
  </si>
  <si>
    <t>28GHz,30,512,1.5,60,0.000502,0,0,0.1957</t>
  </si>
  <si>
    <t>28GHz,30,512,20,0,0.000502,0,0,0.1957</t>
  </si>
  <si>
    <t>28GHz,30,512,20,10,0.000502,0,0,0.1957</t>
  </si>
  <si>
    <t>28GHz,30,512,20,30,0.000502,0,0,0.1957</t>
  </si>
  <si>
    <t>28GHz,30,512,20,60,0.000502,0,0,0.1957</t>
  </si>
  <si>
    <t>28GHz,30,512,50,0,0.000502,0,0,0.1957</t>
  </si>
  <si>
    <t>28GHz,30,512,50,10,0.000502,0,0,0.1957</t>
  </si>
  <si>
    <t>28GHz,30,512,50,30,0.000502,0,0,0.1957</t>
  </si>
  <si>
    <t>28GHz,30,512,50,60,0.000502,0,0,0.1957</t>
  </si>
  <si>
    <t>28GHz,30,512,100,0,0.000502,0,0,0.1957</t>
  </si>
  <si>
    <t>28GHz,30,512,100,10,0.000502,0,0,0.1957</t>
  </si>
  <si>
    <t>28GHz,30,512,100,30,0.000502,0,0,0.1957</t>
  </si>
  <si>
    <t>28GHz,30,512,100,60,0.000502,0,0,0.1957</t>
  </si>
  <si>
    <t>28GHz,30,1200,1.5,0,0.000502,0,0,0.444401</t>
  </si>
  <si>
    <t>28GHz,30,1200,1.5,10,0.000502,0,0,0.444401</t>
  </si>
  <si>
    <t>28GHz,30,1200,1.5,30,0.000502,0,0,0.444401</t>
  </si>
  <si>
    <t>28GHz,30,1200,1.5,60,0.000502,0,0,0.444401</t>
  </si>
  <si>
    <t>28GHz,30,1200,20,0,0.000502,0,0,0.444401</t>
  </si>
  <si>
    <t>28GHz,30,1200,20,10,0.000502,0,0,0.444401</t>
  </si>
  <si>
    <t>28GHz,30,1200,20,30,0.000502,0,0,0.444401</t>
  </si>
  <si>
    <t>28GHz,30,1200,20,60,0.000502,0,0,0.444401</t>
  </si>
  <si>
    <t>28GHz,30,1200,50,0,0.000502,0,0,0.444401</t>
  </si>
  <si>
    <t>28GHz,30,1200,50,10,0.000502,0,0,0.444401</t>
  </si>
  <si>
    <t>28GHz,30,1200,50,30,0.000502,0,0,0.444401</t>
  </si>
  <si>
    <t>28GHz,30,1200,50,60,0.000502,0,0,0.444401</t>
  </si>
  <si>
    <t>28GHz,30,1200,100,0,0.000502,0,0,0.444401</t>
  </si>
  <si>
    <t>28GHz,30,1200,100,10,0.000502,0,0,0.444401</t>
  </si>
  <si>
    <t>28GHz,30,1200,100,30,0.000502,0,0,0.444401</t>
  </si>
  <si>
    <t>28GHz,30,1200,100,60,0.000502,0,0,0.444401</t>
  </si>
  <si>
    <t>28GHz,37,128,1.5,0,0.000502,0,0,0.0568897</t>
  </si>
  <si>
    <t>28GHz,37,128,1.5,10,0.000502,0,0,0.0568897</t>
  </si>
  <si>
    <t>28GHz,37,128,1.5,30,0.000502,0,0,0.0568897</t>
  </si>
  <si>
    <t>28GHz,37,128,1.5,60,0.000502,0,0,0.0568897</t>
  </si>
  <si>
    <t>28GHz,37,128,20,0,0.000502,0,0,0.0568897</t>
  </si>
  <si>
    <t>28GHz,37,128,20,10,0.000502,0,0,0.0568897</t>
  </si>
  <si>
    <t>28GHz,37,128,20,30,0.000502,0,0,0.0568897</t>
  </si>
  <si>
    <t>28GHz,37,128,20,60,0.000502,0,0,0.0568897</t>
  </si>
  <si>
    <t>28GHz,37,128,50,0,0.000502,0,0,0.0568897</t>
  </si>
  <si>
    <t>28GHz,37,128,50,10,0.000502,0,0,0.0568897</t>
  </si>
  <si>
    <t>28GHz,37,128,50,30,0.000502,0,0,0.0568897</t>
  </si>
  <si>
    <t>28GHz,37,128,50,60,0.000502,0,0,0.0568897</t>
  </si>
  <si>
    <t>28GHz,37,128,100,0,0.000502,0,0,0.0568897</t>
  </si>
  <si>
    <t>28GHz,37,128,100,10,0.000502,0,0,0.0568897</t>
  </si>
  <si>
    <t>28GHz,37,128,100,30,0.000502,0,0,0.0568897</t>
  </si>
  <si>
    <t>28GHz,37,128,100,60,0.000502,0,0,0.0568897</t>
  </si>
  <si>
    <t>28GHz,37,512,1.5,0,0.000502,0,0,0.1957</t>
  </si>
  <si>
    <t>28GHz,37,512,1.5,10,0.000502,0,0,0.1957</t>
  </si>
  <si>
    <t>28GHz,37,512,1.5,30,0.000502,0,0,0.1957</t>
  </si>
  <si>
    <t>28GHz,37,512,1.5,60,0.000502,0,0,0.1957</t>
  </si>
  <si>
    <t>28GHz,37,512,20,0,0.000502,0,0,0.1957</t>
  </si>
  <si>
    <t>28GHz,37,512,20,10,0.000502,0,0,0.1957</t>
  </si>
  <si>
    <t>28GHz,37,512,20,30,0.000502,0,0,0.1957</t>
  </si>
  <si>
    <t>28GHz,37,512,20,60,0.000502,0,0,0.1957</t>
  </si>
  <si>
    <t>28GHz,37,512,50,0,0.000502,0,0,0.1957</t>
  </si>
  <si>
    <t>28GHz,37,512,50,10,0.000502,0,0,0.1957</t>
  </si>
  <si>
    <t>28GHz,37,512,50,30,0.000502,0,0,0.1957</t>
  </si>
  <si>
    <t>28GHz,37,512,50,60,0.000502,0,0,0.1957</t>
  </si>
  <si>
    <t>28GHz,37,512,100,0,0.000502,0,0,0.1957</t>
  </si>
  <si>
    <t>28GHz,37,512,100,10,0.000502,0,0,0.1957</t>
  </si>
  <si>
    <t>28GHz,37,512,100,30,0.000502,0,0,0.1957</t>
  </si>
  <si>
    <t>28GHz,37,512,100,60,0.000502,0,0,0.1957</t>
  </si>
  <si>
    <t>28GHz,37,1200,1.5,0,0.000502,0,0,0.444401</t>
  </si>
  <si>
    <t>28GHz,37,1200,1.5,10,0.000502,0,0,0.444401</t>
  </si>
  <si>
    <t>28GHz,37,1200,1.5,30,0.000502,0,0,0.444401</t>
  </si>
  <si>
    <t>28GHz,37,1200,1.5,60,0.000502,0,0,0.444401</t>
  </si>
  <si>
    <t>28GHz,37,1200,20,0,0.000502,0,0,0.444401</t>
  </si>
  <si>
    <t>28GHz,37,1200,20,10,0.000502,0,0,0.444401</t>
  </si>
  <si>
    <t>28GHz,37,1200,20,30,0.000502,0,0,0.444401</t>
  </si>
  <si>
    <t>28GHz,37,1200,20,60,0.000502,0,0,0.444401</t>
  </si>
  <si>
    <t>28GHz,37,1200,50,0,0.000502,0,0,0.444401</t>
  </si>
  <si>
    <t>28GHz,37,1200,50,10,0.000502,0,0,0.444401</t>
  </si>
  <si>
    <t>28GHz,37,1200,50,30,0.000502,0,0,0.444401</t>
  </si>
  <si>
    <t>28GHz,37,1200,50,60,0.000502,0,0,0.444401</t>
  </si>
  <si>
    <t>28GHz,37,1200,100,0,0.000502,0,0,0.444401</t>
  </si>
  <si>
    <t>28GHz,37,1200,100,10,0.000502,0,0,0.444401</t>
  </si>
  <si>
    <t>28GHz,37,1200,100,30,0.000502,0,0,0.444401</t>
  </si>
  <si>
    <t>28GHz,37,1200,100,60,0.000502,0,0,0.444401</t>
  </si>
  <si>
    <t>Speed(m/s),AvgDelay(ms),Jitter(ms),PacketLoss(%),Throughput(Mbps),AvgSINR(dB),BLER(%)</t>
  </si>
  <si>
    <t>0,13.9206,0.89818,0.481799,1.91924,0,0.481799</t>
  </si>
  <si>
    <t>5,0.000502,0,99.9286,13441.7,0,99.9286</t>
  </si>
  <si>
    <t>10,16.8719,0.904862,0.624554,1.91649,0,0.624554</t>
  </si>
  <si>
    <t>20,0.000502,0,99.9286,13441.7,0,99.9286</t>
  </si>
  <si>
    <t>30,16.9673,0.900402,0.588865,1.91717,0,0.588865</t>
  </si>
  <si>
    <t>40,17.237,0.901194,0.606709,1.91683,0,0.606709</t>
  </si>
  <si>
    <t>50,17.3061,0.90188,0.820842,1.9127,0,0.820842</t>
  </si>
  <si>
    <t>60,17.3651,0.900367,0.624554,1.91649,0,0.624554</t>
  </si>
  <si>
    <t>70,17.707,0.902164,0.624554,1.91649,0,0.624554</t>
  </si>
  <si>
    <t>80,0.000502,0,99.9286,13441.7,0,99.9286</t>
  </si>
  <si>
    <t>90,17.7953,0.900729,0.624554,1.91649,0,0.624554</t>
  </si>
  <si>
    <t>100,17.8617,0.89709,0.588865,1.91685,0,0.588865</t>
  </si>
  <si>
    <t>Speed(m/s)</t>
  </si>
  <si>
    <t>AvgDelay(ms)</t>
  </si>
  <si>
    <t>Jitter(ms)</t>
  </si>
  <si>
    <t>PacketLoss(%)</t>
  </si>
  <si>
    <t>Throughput(Mbps)</t>
  </si>
  <si>
    <t>0</t>
  </si>
  <si>
    <t>13.9196</t>
  </si>
  <si>
    <t>0.897544</t>
  </si>
  <si>
    <t>0.675</t>
  </si>
  <si>
    <t>2.05992</t>
  </si>
  <si>
    <t>5</t>
  </si>
  <si>
    <t>100</t>
  </si>
  <si>
    <t>10</t>
  </si>
  <si>
    <t>16.9268</t>
  </si>
  <si>
    <t>0.903137</t>
  </si>
  <si>
    <t>0.875</t>
  </si>
  <si>
    <t>2.05578</t>
  </si>
  <si>
    <t>20</t>
  </si>
  <si>
    <t>30</t>
  </si>
  <si>
    <t>17.1653</t>
  </si>
  <si>
    <t>0.900313</t>
  </si>
  <si>
    <t>0.925</t>
  </si>
  <si>
    <t>2.05474</t>
  </si>
  <si>
    <t>40</t>
  </si>
  <si>
    <t>17.4884</t>
  </si>
  <si>
    <t>0.901117</t>
  </si>
  <si>
    <t>50</t>
  </si>
  <si>
    <t>17.7283</t>
  </si>
  <si>
    <t>0.90274</t>
  </si>
  <si>
    <t>1.15</t>
  </si>
  <si>
    <t>2.05007</t>
  </si>
  <si>
    <t>60</t>
  </si>
  <si>
    <t>17.7474</t>
  </si>
  <si>
    <t>0.90152</t>
  </si>
  <si>
    <t>0.85</t>
  </si>
  <si>
    <t>2.05629</t>
  </si>
  <si>
    <t>70</t>
  </si>
  <si>
    <t>18.0284</t>
  </si>
  <si>
    <t>0.902128</t>
  </si>
  <si>
    <t>80</t>
  </si>
  <si>
    <t>90</t>
  </si>
  <si>
    <t>18.1312</t>
  </si>
  <si>
    <t>0.899636</t>
  </si>
  <si>
    <t>18.1464</t>
  </si>
  <si>
    <t>0.894757</t>
  </si>
  <si>
    <t>0.825</t>
  </si>
  <si>
    <t>2.6GHz</t>
  </si>
  <si>
    <t>Slice,Throughput(Mbps),Delay(ms),Jitter(ms),PacketLoss(%),SINR(dB),BLER(%)</t>
  </si>
  <si>
    <t>URLLC,0.0053248,4.4125,2.31833,0.775194,30.1216,0.775194</t>
  </si>
  <si>
    <t>eMBB,0.0312512,11.3208,3.70089,91.2308,30.1216,91.2308</t>
  </si>
  <si>
    <t>15,117.065,0.499864,99.8037,0.0402216,0,99.8037</t>
  </si>
  <si>
    <t>20,16.5337,0.899218,0.606709,1.91683,0,0.606709</t>
  </si>
  <si>
    <t>25,16.779,0.899971,0.571021,1.91752,0,0.571021</t>
  </si>
  <si>
    <t>30,17.0558,0.901732,0.606709,1.91683,0,0.606709</t>
  </si>
  <si>
    <t>35,16.9767,0.901194,0.606709,1.91683,0,0.606709</t>
  </si>
  <si>
    <t>40,17.2802,0.901806,0.624554,1.91649,0,0.624554</t>
  </si>
  <si>
    <t>45,0.000502,0,99.9286,13441.7,0,99.9286</t>
  </si>
  <si>
    <t>50,17.2261,0.900366,0.624554,1.91649,0,0.624554</t>
  </si>
  <si>
    <t>55,17.4446,0.901876,0.642398,1.91614,0,0.642398</t>
  </si>
  <si>
    <t>60,17.4503,0.900941,0.588865,1.91717,0,0.588865</t>
  </si>
  <si>
    <t>65,0.000502,0,99.9286,13441.7,0,99.9286</t>
  </si>
  <si>
    <t>70,0.000502,0,99.9286,13441.7,0,99.9286</t>
  </si>
  <si>
    <t>75,0.000502,0,99.9286,13441.7,0,99.9286</t>
  </si>
  <si>
    <t>80,17.8955,0.90163,0.624554,1.91649,0,0.624554</t>
  </si>
  <si>
    <t>85,17.825,0.900639,0.624554,1.91616,0,0.624554</t>
  </si>
  <si>
    <t>90,17.7871,0.90134,0.642398,1.91614,0,0.642398</t>
  </si>
  <si>
    <t>95,0.000502,0,99.9286,13441.7,0,99.9286</t>
  </si>
  <si>
    <t>100,17.4416,0.901588,66.8273,1.69887,0,66.8273</t>
  </si>
  <si>
    <t>2.5,0.000502,0,99.9286,13441.7,0,99.9286</t>
  </si>
  <si>
    <t>5,16.5565,0.904754,0.642398,1.91614,0,0.642398</t>
  </si>
  <si>
    <t>7.5,180.466,5.23667,99.5717,0.0615935,0,99.5717</t>
  </si>
  <si>
    <t>10,16.0144,0.899397,0.517488,1.91855,0,0.517488</t>
  </si>
  <si>
    <t>12.5,16.2749,0.900728,0.624554,1.91649,0,0.624554</t>
  </si>
  <si>
    <t>15,16.2655,0.899576,0.517488,1.91855,0,0.517488</t>
  </si>
  <si>
    <t>17.5,16.2683,0.900368,0.624554,1.91649,0,0.624554</t>
  </si>
  <si>
    <t>20,16.6221,0.900726,0.624554,1.91649,0,0.624554</t>
  </si>
  <si>
    <t>22.5,0.000502,0,99.9286,13441.7,0,99.9286</t>
  </si>
  <si>
    <t>25,16.713,0.899864,0.588865,1.91717,0,0.588865</t>
  </si>
  <si>
    <t>27.5,16.6526,0.900474,0.606709,1.91683,0,0.606709</t>
  </si>
  <si>
    <t>30,16.7497,0.899973,0.571021,1.91752,0,0.571021</t>
  </si>
  <si>
    <t>32.5,19.3947,0.882938,97.1627,0.59298,0,97.1627</t>
  </si>
  <si>
    <t>35,0.000502,0,99.9286,13441.7,0,99.9286</t>
  </si>
  <si>
    <t>37.5,0.000502,0,99.9286,13441.7,0,99.9286</t>
  </si>
  <si>
    <t>40,17.1228,0.900725,0.624554,1.91649,0,0.624554</t>
  </si>
  <si>
    <t>42.5,17.2307,0.900761,0.588865,1.91717,0,0.588865</t>
  </si>
  <si>
    <t>45,17.2446,0.901372,0.606709,1.91683,0,0.606709</t>
  </si>
  <si>
    <t>47.5,0.000502,0,99.9286,13441.7,0,99.9286</t>
  </si>
  <si>
    <t>50,17.3362,0.901372,0.606709,1.91683,0,0.606709</t>
  </si>
  <si>
    <t>0,13.9055,0.898839,0.281133,1.97099,0,0.281133</t>
  </si>
  <si>
    <t>2.5,0.000502,0,99.9584,13441.7,0,99.9584</t>
  </si>
  <si>
    <t>5,16.5422,0.903185,0.322782,1.97017,0,0.322782</t>
  </si>
  <si>
    <t>7.5,187.015,3.87484,99.6564,0.0839064,0,99.6564</t>
  </si>
  <si>
    <t>10,16.3094,0.900342,0.343607,1.96976,0,0.343607</t>
  </si>
  <si>
    <t>12.5,16.6009,0.900426,0.364431,1.96934,0,0.364431</t>
  </si>
  <si>
    <t>15,16.6408,0.900363,0.374844,1.96914,0,0.374844</t>
  </si>
  <si>
    <t>17.5,16.6759,0.900509,0.333195,1.96996,0,0.333195</t>
  </si>
  <si>
    <t>20,17.0685,0.902097,0.364431,1.96934,0,0.364431</t>
  </si>
  <si>
    <t>22.5,0.000502,0,99.9584,13441.7,0,99.9584</t>
  </si>
  <si>
    <t>25,17.082,0.901052,0.364431,1.96935,0,0.364431</t>
  </si>
  <si>
    <t>27.5,17.0803,0.901407,0.374844,1.96914,0,0.374844</t>
  </si>
  <si>
    <t>30,17.1447,0.901011,0.354019,1.96955,0,0.354019</t>
  </si>
  <si>
    <t>32.5,19.3947,0.882938,98.3444,0.59298,0,98.3444</t>
  </si>
  <si>
    <t>35,0.000502,0,99.9584,13441.7,0,99.9584</t>
  </si>
  <si>
    <t>37.5,0.000502,0,99.9584,13441.7,0,99.9584</t>
  </si>
  <si>
    <t>40,17.5625,0.901722,0.374844,1.96914,0,0.374844</t>
  </si>
  <si>
    <t>42.5,17.6791,0.902035,0.374844,1.96914,0,0.374844</t>
  </si>
  <si>
    <t>45,17.5992,0.901575,0.364431,1.96935,0,0.364431</t>
  </si>
  <si>
    <t>47.5,0.000502,0,99.9584,13441.7,0,99.9584</t>
  </si>
  <si>
    <t>50,17.7301,0.90214,0.374844,1.96914,0,0.374844</t>
  </si>
  <si>
    <t>0,19.7898,0.225307,23.2603,7.70448,0,23.2603</t>
  </si>
  <si>
    <t>2.5,0.000502,0,99.9955,13441.7,0,99.9955</t>
  </si>
  <si>
    <t>5,19.1589,0.225854,45.5082,7.98999,0,45.5082</t>
  </si>
  <si>
    <t>7.5,202.621,1.23621,99.8818,0.259926,0,99.8818</t>
  </si>
  <si>
    <t>10,19.7701,0.235066,19.3866,8.16567,0,19.3866</t>
  </si>
  <si>
    <t>12.5,21.8435,0.22986,18.3276,8.39133,0,18.3276</t>
  </si>
  <si>
    <t>15,21.4318,0.230069,16.164,8.41598,0,16.164</t>
  </si>
  <si>
    <t>17.5,22.1905,0.230008,16.1459,8.41828,0,16.1459</t>
  </si>
  <si>
    <t>20,22.8978,0.228874,15.8993,8.44256,0,15.8993</t>
  </si>
  <si>
    <t>22.5,0.000502,0,99.9955,13441.7,0,99.9955</t>
  </si>
  <si>
    <t>25,20.7806,0.222305,13.7755,8.65576,0,13.7755</t>
  </si>
  <si>
    <t>27.5,25.2916,0.22262,13.8039,8.65242,0,13.8039</t>
  </si>
  <si>
    <t>30,23.5327,0.220365,13.146,8.71798,0,13.146</t>
  </si>
  <si>
    <t>32.5,80.7995,0.420124,99.1398,1.73586,0,99.1398</t>
  </si>
  <si>
    <t>35,0.000502,0,99.9955,13441.7,0,99.9955</t>
  </si>
  <si>
    <t>37.5,0.000502,0,99.9955,13441.7,0,99.9955</t>
  </si>
  <si>
    <t>40,30.9022,0.219719,25.042,8.57067,0,25.042</t>
  </si>
  <si>
    <t>42.5,35.7546,0.218667,29.9964,8.62165,0,29.9964</t>
  </si>
  <si>
    <t>45,18.813,0.226022,93.2344,6.69325,0,93.2344</t>
  </si>
  <si>
    <t>47.5,0.000502,0,99.9955,13441.7,0,99.9955</t>
  </si>
  <si>
    <t>50,18.8227,0.222663,94.5821,6.3748,0,94.5821</t>
  </si>
  <si>
    <t>timeSim=9</t>
  </si>
  <si>
    <t>timeSim=3</t>
  </si>
  <si>
    <t>10s</t>
  </si>
  <si>
    <t>0,19.7729,0.225404,23.1225,7.73374,0,23.1225</t>
  </si>
  <si>
    <t>2.5,0.000502,0,99.9959,13441.7,0,99.9959</t>
  </si>
  <si>
    <t>5,19.1589,0.225854,51.0683,7.98999,0,51.0683</t>
  </si>
  <si>
    <t>7.5,210.771,1.23723,99.8939,0.259926,0,99.8939</t>
  </si>
  <si>
    <t>10,21.3766,0.233032,17.3758,8.31185,0,17.3758</t>
  </si>
  <si>
    <t>12.5,21.8435,0.22986,26.6612,8.39133,0,26.6612</t>
  </si>
  <si>
    <t>15,21.1275,0.229498,15.9585,8.45358,0,15.9585</t>
  </si>
  <si>
    <t>17.5,22.2548,0.228974,15.7585,8.47412,0,15.7585</t>
  </si>
  <si>
    <t>20,22.3338,0.226154,15.0055,8.54901,0,15.0055</t>
  </si>
  <si>
    <t>22.5,0.000502,0,99.9959,13441.7,0,99.9959</t>
  </si>
  <si>
    <t>25,19.2707,0.218715,12.6607,8.78486,0,12.6607</t>
  </si>
  <si>
    <t>27.5,22.5369,0.220367,13.9739,8.68279,0,13.9739</t>
  </si>
  <si>
    <t>30,27.3436,0.219048,12.7403,8.77773,0,12.7403</t>
  </si>
  <si>
    <t>32.5,78.841,0.435866,99.2541,1.67444,0,99.2541</t>
  </si>
  <si>
    <t>35,0.000502,0,99.9959,13441.7,0,99.9959</t>
  </si>
  <si>
    <t>37.5,0.000502,0,99.9959,13441.7,0,99.9959</t>
  </si>
  <si>
    <t>40,31.2347,0.220599,32.9129,8.55916,0,32.9129</t>
  </si>
  <si>
    <t>42.5,35.7596,0.218624,37.1607,8.62519,0,37.1607</t>
  </si>
  <si>
    <t>45,18.813,0.226022,93.9247,6.69325,0,93.9247</t>
  </si>
  <si>
    <t>47.5,0.000502,0,99.9959,13441.7,0,99.9959</t>
  </si>
  <si>
    <t>50,18.8227,0.222663,95.1349,6.3748,0,95.1349</t>
  </si>
  <si>
    <t>15s</t>
  </si>
  <si>
    <t>0,19.75,0.225462,22.9555,7.79689,0,22.9555</t>
  </si>
  <si>
    <t>2.5,0.000502,0,99.9973,13441.7,0,99.9973</t>
  </si>
  <si>
    <t>5,19.1589,0.225854,67.5988,7.98999,0,67.5988</t>
  </si>
  <si>
    <t>7.5,202.621,1.23621,99.9297,0.259926,0,99.9297</t>
  </si>
  <si>
    <t>10,22.0643,0.23024,16.232,8.47702,0,16.232</t>
  </si>
  <si>
    <t>12.5,21.8435,0.22986,51.4371,8.39133,0,51.4371</t>
  </si>
  <si>
    <t>15,20.6476,0.221969,13.5186,8.75073,0,13.5186</t>
  </si>
  <si>
    <t>17.5,23.6336,0.220276,12.9774,8.8055,0,12.9774</t>
  </si>
  <si>
    <t>20,27.1986,0.216306,11.8368,8.92358,0,11.8368</t>
  </si>
  <si>
    <t>22.5,0.000502,0,99.9973,13441.7,0,99.9973</t>
  </si>
  <si>
    <t>25,30.4794,0.221279,24.3602,8.65383,0,24.3602</t>
  </si>
  <si>
    <t>27.5,29.9764,0.220259,29.0864,8.67604,0,29.0864</t>
  </si>
  <si>
    <t>30,31.6208,0.223533,34.9261,8.55962,0,34.9261</t>
  </si>
  <si>
    <t>32.5,79.4489,0.445591,99.5129,1.64971,0,99.5129</t>
  </si>
  <si>
    <t>35,0.000502,0,99.9973,13441.7,0,99.9973</t>
  </si>
  <si>
    <t>37.5,0.000502,0,99.9973,13441.7,0,99.9973</t>
  </si>
  <si>
    <t>40,31.3138,0.221335,55.6559,8.52714,0,55.6559</t>
  </si>
  <si>
    <t>42.5,37.0105,0.222332,58.0795,8.45762,0,58.0795</t>
  </si>
  <si>
    <t>45,18.813,0.226022,95.9771,6.69325,0,95.9771</t>
  </si>
  <si>
    <t>47.5,0.000502,0,99.9973,13441.7,0,99.9973</t>
  </si>
  <si>
    <t>50,18.8227,0.222663,96.7785,6.3748,0,96.7785</t>
  </si>
  <si>
    <t>0,19.716,0.225555,22.6854,7.84745,0,22.6854</t>
  </si>
  <si>
    <t>2.5,0.000502,0,99.998,13441.7,0,99.998</t>
  </si>
  <si>
    <t>5,19.1589,0.225854,75.7808,7.98999,0,75.7808</t>
  </si>
  <si>
    <t>7.5,202.057,1.21684,99.947,0.262406,0,99.947</t>
  </si>
  <si>
    <t>10,21.488,0.225523,14.6603,8.66178,0,14.6603</t>
  </si>
  <si>
    <t>12.5,21.8435,0.22986,63.7002,8.39133,0,63.7002</t>
  </si>
  <si>
    <t>15,24.7525,0.215349,11.4472,8.98722,0,11.4472</t>
  </si>
  <si>
    <t>17.5,30.9626,0.221281,15.1749,8.71004,0,15.1749</t>
  </si>
  <si>
    <t>20,32.1599,0.221795,31.1297,8.66948,0,31.1297</t>
  </si>
  <si>
    <t>22.5,0.000502,0,99.998,13441.7,0,99.998</t>
  </si>
  <si>
    <t>25,28.9059,0.219251,43.7698,8.73844,0,43.7698</t>
  </si>
  <si>
    <t>27.5,29.9033,0.220264,46.7794,8.70474,0,46.7794</t>
  </si>
  <si>
    <t>30,31.7873,0.223313,51.3959,8.56382,0,51.3959</t>
  </si>
  <si>
    <t>32.5,104.5,0.472397,99.6657,1.55297,0,99.6657</t>
  </si>
  <si>
    <t>35,0.000502,0,99.998,13441.7,0,99.998</t>
  </si>
  <si>
    <t>37.5,0.000502,0,99.998,13441.7,0,99.998</t>
  </si>
  <si>
    <t>40,31.6768,0.221802,66.5562,8.4996,0,66.5562</t>
  </si>
  <si>
    <t>42.5,36.9269,0.22256,68.7001,8.44821,0,68.7001</t>
  </si>
  <si>
    <t>45,18.813,0.226022,96.993,6.69325,0,96.993</t>
  </si>
  <si>
    <t>47.5,0.000502,0,99.998,13441.7,0,99.998</t>
  </si>
  <si>
    <t>50,18.8227,0.222663,97.592,6.3748,0,97.592</t>
  </si>
  <si>
    <t>20s</t>
  </si>
  <si>
    <t>0,12.106,0.18425,0.0611099,10.1404,0,0.0611099</t>
  </si>
  <si>
    <t>5,19.0384,0.183773,2.80802,10.0855,0,2.80802</t>
  </si>
  <si>
    <t>7.5,50.8914,3.2506,99.9646,0.18042,0,99.9646</t>
  </si>
  <si>
    <t>10,16.6526,0.18336,45.4587,9.97481,0,45.4587</t>
  </si>
  <si>
    <t>12.5,15.8447,0.18275,56.9973,10.0085,0,56.9973</t>
  </si>
  <si>
    <t>15,15.4906,0.182389,63.781,9.96691,0,63.781</t>
  </si>
  <si>
    <t>17.5,17.5122,0.182864,66.2951,9.94506,0,66.2951</t>
  </si>
  <si>
    <t>20,20.9123,0.185246,73.4005,9.71243,0,73.4005</t>
  </si>
  <si>
    <t>25,17.3213,0.185001,78.0509,9.58782,0,78.0509</t>
  </si>
  <si>
    <t>27.5,18.8843,0.183239,79.2085,9.77164,0,79.2085</t>
  </si>
  <si>
    <t>30,14.8894,0.182486,80.9297,9.73564,0,80.9297</t>
  </si>
  <si>
    <t>32.5,14.3401,0.36103,99.5263,1.96517,0,99.5263</t>
  </si>
  <si>
    <t>40,16.3305,0.182877,87.5199,9.4892,0,87.5199</t>
  </si>
  <si>
    <t>42.5,14.3841,0.182207,88.4119,9.43937,0,88.4119</t>
  </si>
  <si>
    <t>45,21.438,0.183488,87.8891,9.46585,0,87.8891</t>
  </si>
  <si>
    <t>50,14.6386,0.18235,89.6548,9.35111,0,89.6548</t>
  </si>
  <si>
    <t>num=3</t>
  </si>
  <si>
    <t>0,18.5695,0.229586,14.8219,8.64559,0,14.8219</t>
  </si>
  <si>
    <t>2.5,20.7219,0.236216,17.2936,8.39472,0,17.2936</t>
  </si>
  <si>
    <t>5,35.6903,0.203968,85.6483,8.95786,0,85.6483</t>
  </si>
  <si>
    <t>7.5,22.6481,0.139743,99.952,0.475205,0,99.952</t>
  </si>
  <si>
    <t>10,66.9797,0.271306,88.0624,6.34967,0,88.0624</t>
  </si>
  <si>
    <t>12.5,27.5153,0.223882,14.376,8.70153,0,14.376</t>
  </si>
  <si>
    <t>15,31.738,0.218292,12.5053,8.88028,0,12.5053</t>
  </si>
  <si>
    <t>17.5,62.8502,0.284776,93.0264,5.83819,0,93.0264</t>
  </si>
  <si>
    <t>20,27.2837,0.209024,9.32405,9.2027,0,9.32405</t>
  </si>
  <si>
    <t>22.5,43.2743,0.262805,93.1092,6.2057,0,93.1092</t>
  </si>
  <si>
    <t>25,25.4962,0.215287,12.6437,8.8658,0,12.6437</t>
  </si>
  <si>
    <t>27.5,26.6873,0.221611,16.1376,8.51142,0,16.1376</t>
  </si>
  <si>
    <t>30,25.8437,0.225045,18.2011,8.30237,0,18.2011</t>
  </si>
  <si>
    <t>32.5,29.7628,0.233729,21.5789,7.99357,0,21.5789</t>
  </si>
  <si>
    <t>35,29.5358,0.241342,49.1677,7.64217,0,49.1677</t>
  </si>
  <si>
    <t>37.5,30.2776,0.240926,39.1452,7.68721,0,39.1452</t>
  </si>
  <si>
    <t>40,32.8115,0.242721,40.2967,7.67298,0,40.2967</t>
  </si>
  <si>
    <t>42.5,111.921,0.497855,99.0005,2.52621,0,99.0005</t>
  </si>
  <si>
    <t>45,30.2128,0.245076,46.3172,7.58983,0,46.3172</t>
  </si>
  <si>
    <t>47.5,32.5221,0.243367,48.3768,7.61678,0,48.3768</t>
  </si>
  <si>
    <t>50,32.2177,0.216735,71.8829,8.73914,0,71.8829</t>
  </si>
  <si>
    <t>0,18.4981,0.227139,13.9038,8.73878,0,13.9038</t>
  </si>
  <si>
    <t>2.5,18.4981,0.227139,13.9038,8.73878,0,13.9038</t>
  </si>
  <si>
    <t>5,38.5657,0.242339,72.2834,7.93025,0,72.2834</t>
  </si>
  <si>
    <t>7.5,26.8251,0.231157,16.6648,8.4902,0,16.6648</t>
  </si>
  <si>
    <t>10,47.127,0.249428,47.7556,7.54912,0,47.7556</t>
  </si>
  <si>
    <t>12.5,18.5028,0.227245,13.9437,8.73473,0,13.9437</t>
  </si>
  <si>
    <t>15,18.8087,0.228857,14.9997,8.66877,0,14.9997</t>
  </si>
  <si>
    <t>17.5,65.4101,0.240049,63.5129,7.85106,0,63.5129</t>
  </si>
  <si>
    <t>20,19.6525,0.226335,13.7048,8.76117,0,13.7048</t>
  </si>
  <si>
    <t>22.5,35.745,0.254688,92.4678,6.91988,0,92.4678</t>
  </si>
  <si>
    <t>25,20.0796,0.232493,15.979,8.52815,0,15.979</t>
  </si>
  <si>
    <t>27.5,19.6236,0.232069,15.7911,8.54722,0,15.7911</t>
  </si>
  <si>
    <t>30,19.5436,0.228166,14.3174,8.6968,0,14.3174</t>
  </si>
  <si>
    <t>32.5,21.6959,0.22907,14.776,8.65004,0,14.776</t>
  </si>
  <si>
    <t>35,23.7897,0.229447,15.2689,8.60001,0,15.2689</t>
  </si>
  <si>
    <t>37.5,20.3399,0.23293,16.1487,8.51093,0,16.1487</t>
  </si>
  <si>
    <t>40,20.6593,0.232252,15.9547,8.53061,0,15.9547</t>
  </si>
  <si>
    <t>42.5,47.753,0.238535,80.3494,7.63796,0,80.3494</t>
  </si>
  <si>
    <t>45,23.745,0.23268,16.336,8.4917,0,16.336</t>
  </si>
  <si>
    <t>47.5,22.462,0.231996,16.0461,8.52112,0,16.0461</t>
  </si>
  <si>
    <t>50,22.4681,0.23063,15.9062,8.53532,0,15.9062</t>
  </si>
  <si>
    <t>0,0.941974,0.499854,0.00277747,1.84496,0,0.00277747</t>
  </si>
  <si>
    <t>5,0.941974,0.499854,0.00277747,1.84496,0,0.00277747</t>
  </si>
  <si>
    <t>10,1.29943,0.272334,0.00555494,1.8449,0,0.00555494</t>
  </si>
  <si>
    <t>15,1.48701,0.329139,58.7601,1.61645,0,58.7601</t>
  </si>
  <si>
    <t>20,1.12875,0.213157,82.2186,1.26487,0,82.2186</t>
  </si>
  <si>
    <t>25,0.809153,0.232695,0.00277747,1.84496,0,0.00277747</t>
  </si>
  <si>
    <t>30,0.78042,0.173291,0.00277747,1.84496,0,0.00277747</t>
  </si>
  <si>
    <t>35,1.83889,0.371178,77.9302,1.32312,0,77.9302</t>
  </si>
  <si>
    <t>40,0.746407,0.105195,0.00277747,1.84496,0,0.00277747</t>
  </si>
  <si>
    <t>45,47.9354,0.720359,96.6365,0.45212,0,96.6365</t>
  </si>
  <si>
    <t>50,0.754211,0.120245,0.00277747,1.84496,0,0.00277747</t>
  </si>
  <si>
    <t>1.5,0.000502,0,0,13441.7,0,0</t>
  </si>
  <si>
    <t>10,0.000502,0,0,13441.7,0,0</t>
  </si>
  <si>
    <t>20,0.000502,0,0,13441.7,0,0</t>
  </si>
  <si>
    <t>1.5,1.4419,0.333253,0.00555494,1.84489,0,0.00555494</t>
  </si>
  <si>
    <t>10,1.44191,0.333253,0.00555494,1.84489,0,0.00555494</t>
  </si>
  <si>
    <t>20,1.24145,0.241211,0.00555494,1.84493,0,0.00555494</t>
  </si>
  <si>
    <t>30,1.19496,0.243711,0.00833241,1.84488,0,0.00833241</t>
  </si>
  <si>
    <t>40,3.35158,0.339175,42.8647,1.71515,0,42.8647</t>
  </si>
  <si>
    <t>50,1.32939,0.287217,0.00833241,1.84486,0,0.00833241</t>
  </si>
  <si>
    <t>80,1.44192,0.33325,0.00555494,1.84489,0,0.00555494</t>
  </si>
  <si>
    <t>100,1.42941,0.349913,0.00555494,1.8449,0,0.00555494</t>
  </si>
  <si>
    <t>120,0.000502,0,99.9889,13441.7,0,99.9889</t>
  </si>
  <si>
    <t>140,0.897961,0.115101,0.00555494,1.84489,0,0.00555494</t>
  </si>
  <si>
    <t>160,1.42966,0.349937,0.00555494,1.84491,0,0.00555494</t>
  </si>
  <si>
    <t>180,1.02374,0.164662,0.00833241,1.84489,0,0.00833241</t>
  </si>
  <si>
    <t>200,1.06738,0.187547,0.00277747,1.84496,0,0.00277747</t>
  </si>
  <si>
    <t>TxPowerGnb(dBm),TxPowerUe(dBm),AvgDelay(ms),Jitter(ms),PacketLoss(%),Throughput(Mbps),AvgSINR(dB),BLER(%)</t>
  </si>
  <si>
    <t>30,20,8.59828,0.227143,13.8603,8.74293,0,13.8603</t>
  </si>
  <si>
    <t>30,22,8.59815,0.22714,13.8603,8.74315,0,13.8603</t>
  </si>
  <si>
    <t>30,24,24.6587,0.251276,49.5243,7.72309,0,49.5243</t>
  </si>
  <si>
    <t>30,26,10.8546,0.232017,15.83,8.54323,0,15.83</t>
  </si>
  <si>
    <t>32,20,60.8456,0.232343,18.1537,8.30696,0,18.1537</t>
  </si>
  <si>
    <t>32,22,8.59815,0.22714,13.8603,8.74315,0,13.8603</t>
  </si>
  <si>
    <t>32,24,8.59815,0.22714,13.8603,8.74315,0,13.8603</t>
  </si>
  <si>
    <t>32,26,33.9238,0.255286,37.6427,7.62702,0,37.6427</t>
  </si>
  <si>
    <t>34,20,8.59815,0.22714,13.8603,8.74315,0,13.8603</t>
  </si>
  <si>
    <t>34,22,37.9977,0.240897,20.4733,8.09829,0,20.4733</t>
  </si>
  <si>
    <t>34,24,8.59815,0.22714,13.8603,8.74315,0,13.8603</t>
  </si>
  <si>
    <t>34,26,8.59815,0.22714,13.8603,8.74315,0,13.8603</t>
  </si>
  <si>
    <t>36,20,8.59815,0.22714,13.8603,8.74315,0,13.8603</t>
  </si>
  <si>
    <t>36,22,8.59815,0.22714,13.8603,8.74315,0,13.8603</t>
  </si>
  <si>
    <t>36,24,8.59815,0.22714,13.8603,8.74315,0,13.8603</t>
  </si>
  <si>
    <t>36,26,8.59815,0.22714,13.8603,8.74315,0,13.8603</t>
  </si>
  <si>
    <t>38,20,8.59815,0.22714,13.8603,8.74315,0,13.8603</t>
  </si>
  <si>
    <t>38,22,22.2396,0.245794,35.5503,7.96753,0,35.5503</t>
  </si>
  <si>
    <t>38,24,8.59815,0.22714,13.8603,8.74315,0,13.8603</t>
  </si>
  <si>
    <t>38,26,8.59815,0.22714,13.8603,8.74315,0,13.8603</t>
  </si>
  <si>
    <t>40,20,8.59815,0.22714,13.8603,8.74315,0,13.8603</t>
  </si>
  <si>
    <t>40,22,24.9047,0.242456,20.544,8.06456,0,20.544</t>
  </si>
  <si>
    <t>40,24,8.59793,0.227135,13.8583,8.74335,0,13.8583</t>
  </si>
  <si>
    <t>40,26,8.59815,0.22714,13.8603,8.74315,0,13.8603</t>
  </si>
  <si>
    <t>1.5,0.767171,0.145629,0.00277747,1.84496,0,0.00277747</t>
  </si>
  <si>
    <t>10,0.824983,0.263221,0.00277747,1.84496,0,0.00277747</t>
  </si>
  <si>
    <t>20,2.45673,0.325839,48.6029,1.68666,0,48.6029</t>
  </si>
  <si>
    <t>30,1.78185,0.35276,46.5115,1.673,0,46.5115</t>
  </si>
  <si>
    <t>40,2.97969,0.255366,37.2264,1.73013,0,37.2264</t>
  </si>
  <si>
    <t>50,0.838187,0.290209,0.00277747,1.84496,0,0.00277747</t>
  </si>
  <si>
    <t>80,0.725698,0.0626355,0.00277747,1.84496,0,0.00277747</t>
  </si>
  <si>
    <t>100,0.000502,0,99.9889,13441.7,0,99.9889</t>
  </si>
  <si>
    <t>120,43.0773,0.5813,64.3179,1.53881,0,64.3179</t>
  </si>
  <si>
    <t>140,0.000502,0,99.9889,13441.7,0,99.9889</t>
  </si>
  <si>
    <t>160,0.000502,0,99.9889,13441.7,0,99.9889</t>
  </si>
  <si>
    <t>180,0.000502,0,99.9889,13441.7,0,99.9889</t>
  </si>
  <si>
    <t>200,0.000502,0,99.9889,13441.7,0,99.9889</t>
  </si>
  <si>
    <t>1.5,0.746168,0.10488,0.00277747,1.84496,0,0.00277747</t>
  </si>
  <si>
    <t>10,0.804087,0.221789,0.00277747,1.84495,0,0.00277747</t>
  </si>
  <si>
    <t>20,15.7463,0.474023,82.4686,1.25685,0,82.4686</t>
  </si>
  <si>
    <t>30,4.88653,0.391709,56.2271,1.61578,0,56.2271</t>
  </si>
  <si>
    <t>40,2.95848,0.250786,49.0779,1.68342,0,49.0779</t>
  </si>
  <si>
    <t>50,0.80977,0.233684,0.00277747,1.84496,0,0.00277747</t>
  </si>
  <si>
    <t>80,0.727442,0.0651564,0.00277747,1.84496,0,0.00277747</t>
  </si>
  <si>
    <t>120,50.8199,0.63166,72.8947,1.4196,0,72.8947</t>
  </si>
  <si>
    <t>30,20,8.45335,0.220885,13.2836,8.80169,0,13.2836</t>
  </si>
  <si>
    <t>30,22,20.4576,0.274375,98.0783,5.08317,0,98.0783</t>
  </si>
  <si>
    <t>30,24,8.2684,0.215888,11.619,8.97064,0,11.619</t>
  </si>
  <si>
    <t>30,26,12.2631,0.248402,93.0082,6.52827,0,93.0082</t>
  </si>
  <si>
    <t>32,20,8.25678,0.218538,12.0371,8.9282,0,12.0371</t>
  </si>
  <si>
    <t>32,22,8.12518,0.21529,10.4437,9.08993,0,10.4437</t>
  </si>
  <si>
    <t>32,24,8.06921,0.215256,9.78011,9.15729,0,9.78011</t>
  </si>
  <si>
    <t>32,26,7.94771,0.212813,8.53973,9.28318,0,8.53973</t>
  </si>
  <si>
    <t>34,20,8.39292,0.218443,12.5886,8.87222,0,12.5886</t>
  </si>
  <si>
    <t>34,22,0.000502,0,99.998,13441.7,0,99.998</t>
  </si>
  <si>
    <t>34,24,8.09313,0.215249,9.94677,9.14037,0,9.94677</t>
  </si>
  <si>
    <t>34,26,7.97875,0.21314,8.73568,9.2633,0,8.73568</t>
  </si>
  <si>
    <t>36,20,8.23644,0.217703,11.422,8.99064,0,11.422</t>
  </si>
  <si>
    <t>36,22,15.9433,0.23781,93.9087,6.91296,0,93.9087</t>
  </si>
  <si>
    <t>36,24,62.8622,0.236909,66.6103,7.96789,0,66.6103</t>
  </si>
  <si>
    <t>36,26,42.0266,0.22854,55.309,8.31927,0,55.309</t>
  </si>
  <si>
    <t>38,20,8.35472,0.218538,12.2164,8.91,0,12.2164</t>
  </si>
  <si>
    <t>38,22,8.2166,0.217723,11.5104,8.98167,0,11.5104</t>
  </si>
  <si>
    <t>38,24,8.06874,0.215003,9.65334,9.17016,0,9.65334</t>
  </si>
  <si>
    <t>38,26,26.0638,0.241465,95.14,6.5404,0,95.14</t>
  </si>
  <si>
    <t>40,20,8.28251,0.218132,11.7861,8.95368,0,11.7861</t>
  </si>
  <si>
    <t>40,22,29.0719,0.287067,97.1748,5.06272,0,97.1748</t>
  </si>
  <si>
    <t>40,24,8.05031,0.215029,9.53011,9.18266,0,9.53011</t>
  </si>
  <si>
    <t>40,26,8.02742,0.213647,9.1988,9.21629,0,9.1988</t>
  </si>
  <si>
    <t>===== NETWORK SLICING PERFORMANCE (mmWave under Sweep Conditions) =====</t>
  </si>
  <si>
    <t>Speed: 25 m/s | Altitude: 50 m | gNB TxPower: 38 dBm | UE TxPower: 26 dBm</t>
  </si>
  <si>
    <t>=== URLLC (C2 Control) (Port 9000) ===</t>
  </si>
  <si>
    <t>Tx Packets: 100 | Rx Packets: 100</t>
  </si>
  <si>
    <t>Packet Loss: 0.0000%</t>
  </si>
  <si>
    <t>Avg Delay: 0.785 ms</t>
  </si>
  <si>
    <t>Avg Jitter: 0.097 ms</t>
  </si>
  <si>
    <t>Throughput: 2.128 Mbps</t>
  </si>
  <si>
    <t>=== eMBB (Video) (Port 9001) ===</t>
  </si>
  <si>
    <t>Avg Delay: 1.925 ms</t>
  </si>
  <si>
    <t>Avg Jitter: 0.011 ms</t>
  </si>
  <si>
    <t>Throughput: 0.992 Mbps</t>
  </si>
  <si>
    <t>Speed (m/s)</t>
  </si>
  <si>
    <t>mmWave 28</t>
  </si>
  <si>
    <t>sub-6 3.5</t>
  </si>
  <si>
    <t xml:space="preserve">Avg Delay mmWave </t>
  </si>
  <si>
    <t xml:space="preserve">Avg Delay Sub-6 </t>
  </si>
  <si>
    <t>ms</t>
  </si>
  <si>
    <t>%</t>
  </si>
  <si>
    <t>Mbps</t>
  </si>
  <si>
    <t xml:space="preserve">Jitter Sub-6 </t>
  </si>
  <si>
    <t xml:space="preserve">Packet Loss Sub-6 </t>
  </si>
  <si>
    <t xml:space="preserve">Throughput Sub-6  </t>
  </si>
  <si>
    <t>Jitter mmWave</t>
  </si>
  <si>
    <t xml:space="preserve">Packet Loss mmWave </t>
  </si>
  <si>
    <t>Throughput mmWave</t>
  </si>
  <si>
    <t>gNB TxPower (dBm)</t>
  </si>
  <si>
    <t>UE TxPower (dBm)</t>
  </si>
  <si>
    <t>Altitude (m)</t>
  </si>
  <si>
    <t>Speed(m/s),Altitude(m),gNB_TxPower(dBm),UE_TxPower(dBm),URLLC_Loss(%),URLLC_Delay(ms),URLLC_Throughput(Mbps),eMBB_Loss(%),eMBB_Delay(ms),eMBB_Throughput(Mbps)</t>
  </si>
  <si>
    <t>15,120,30,20,40,176.084,0.290316,75,149.316,0.378135</t>
  </si>
  <si>
    <t>15,120,30,22,72,3.42808,4.096,99,95.3191,0</t>
  </si>
  <si>
    <t>15,120,34,20,100,0,0,100,0,0</t>
  </si>
  <si>
    <t>15,120,34,22,100,0,0,100,0,0</t>
  </si>
  <si>
    <t>15,140,30,20,100,0,0,100,0,0</t>
  </si>
  <si>
    <t>15,140,30,22,23,39.9935,5.68274,68,150.696,0.449094</t>
  </si>
  <si>
    <t>15,140,34,20,100,0,0,98,191.195,19338.6</t>
  </si>
  <si>
    <t>15,140,34,22,71,189.067,0.296954,89,164.332,0.360213</t>
  </si>
  <si>
    <t>15,160,30,20,98,384.192,15058.8,95,181.821,12086.6</t>
  </si>
  <si>
    <t>15,160,30,22,100,0,0,100,0,0</t>
  </si>
  <si>
    <t>15,160,34,20,86,2.0129,3.95476,99,3.94408,0</t>
  </si>
  <si>
    <t>15,160,34,22,68,1.37134,2.42775,98,2.63158,2.21386</t>
  </si>
  <si>
    <t>20,120,30,20,100,0,0,100,0,0</t>
  </si>
  <si>
    <t>20,120,30,22,22,51.7879,39.9224,93,116.947,11280.8</t>
  </si>
  <si>
    <t>20,120,34,20,100,0,0,97,201.195,14503.9</t>
  </si>
  <si>
    <t>20,120,34,22,95,1437.94,9411.76,100,0,0</t>
  </si>
  <si>
    <t>20,140,30,20,100,0,0,100,0,0</t>
  </si>
  <si>
    <t>20,140,30,22,100,0,0,100,0,0</t>
  </si>
  <si>
    <t>20,140,34,20,100,0,0,100,0,0</t>
  </si>
  <si>
    <t>20,140,34,22,100,0,0,100,0,0</t>
  </si>
  <si>
    <t>20,160,30,20,100,0,0,98,196.195,19338.6</t>
  </si>
  <si>
    <t>20,160,30,22,100,0,0,100,0,0</t>
  </si>
  <si>
    <t>20,160,34,20,100,0,0,98,137.57,19338.6</t>
  </si>
  <si>
    <t>20,160,34,22,100,0,0,100,0,0</t>
  </si>
  <si>
    <t>35,120,30,20,100,0,0,100,0,0</t>
  </si>
  <si>
    <t>35,120,30,22,39,192.789,0.299577,96,142.632,0.28527</t>
  </si>
  <si>
    <t>35,120,34,20,100,0,0,100,0,0</t>
  </si>
  <si>
    <t>35,120,34,22,100,0,0,100,0,0</t>
  </si>
  <si>
    <t>35,140,30,20,61,95.1153,0.177198,99,11.1941,0</t>
  </si>
  <si>
    <t>35,140,30,22,100,0,0,99,193.194,0</t>
  </si>
  <si>
    <t>35,140,34,20,100,0,0,99,183.194,0</t>
  </si>
  <si>
    <t>35,140,34,22,100,0,0,100,0,0</t>
  </si>
  <si>
    <t>35,160,30,20,100,0,0,100,0,0</t>
  </si>
  <si>
    <t>35,160,30,22,100,0,0,100,0,0</t>
  </si>
  <si>
    <t>35,160,34,20,100,0,0,100,0,0</t>
  </si>
  <si>
    <t>35,160,34,22,100,0,0,100,0,0</t>
  </si>
  <si>
    <t>45,120,30,20,100,0,0,100,0,0</t>
  </si>
  <si>
    <t>Speed(m/s),AvgDelay(ms),Jitter(ms),PacketLoss(%),Throughput(Mbps),AvgSINR(dB)</t>
  </si>
  <si>
    <t>0,13.5146,0.185762,0.0767661,10.2425,0</t>
  </si>
  <si>
    <t>5,15.38,0.193053,0.0838367,10.2423,0</t>
  </si>
  <si>
    <t>10,14.5653,0.173109,68.2057,10.2497,0</t>
  </si>
  <si>
    <t>15,13.2771,0.180623,0.0904022,10.2406,0</t>
  </si>
  <si>
    <t>20,13.1612,0.165815,0.562615,10.2416,0</t>
  </si>
  <si>
    <t>25,15.3921,0.193053,0.0843417,10.2422,0</t>
  </si>
  <si>
    <t>30,15.3922,0.193053,0.0843417,10.2422,0</t>
  </si>
  <si>
    <t>35,13.1444,0.166307,0.0666653,10.2427,0</t>
  </si>
  <si>
    <t>40,15.417,0.193053,0.0717157,10.2422,0</t>
  </si>
  <si>
    <t>45,13.4866,0.168224,0.074746,10.2419,0</t>
  </si>
  <si>
    <t>50,15.3799,0.193053,0.0838367,10.2423,0</t>
  </si>
  <si>
    <t>Speed(m/s),AvgDelay(ms),Jitter(ms),PacketLoss(%),Throughput(Mbps),AvgSINR(dB),SINR_Std(dB)</t>
  </si>
  <si>
    <t>0,26.6534,0.079522,61.8857,3.91461,0,0</t>
  </si>
  <si>
    <t>5,6.26422,0.0745234,60.2039,4.08066,0,0</t>
  </si>
  <si>
    <t>10,6.2462,0.0735547,60.0693,4.09436,0,0</t>
  </si>
  <si>
    <t>15,6.16217,0.0733775,60.0645,4.09485,0,0</t>
  </si>
  <si>
    <t>20,38.8023,0.356637,60.0927,2096.87,0,0</t>
  </si>
  <si>
    <t>25,4.91611,0.0408077,98.1337,1.80649,0,0</t>
  </si>
  <si>
    <t>30,46.6467,0.692966,78.6052,3.98081,0,0</t>
  </si>
  <si>
    <t>35,34.4368,0.264194,98.1601,2.12279,0,0</t>
  </si>
  <si>
    <t>40,3.10138,0.0366956,80.0249,2.04802,0,0</t>
  </si>
  <si>
    <t>45,10.1915,0.110455,40.1087,6.14173,0,0</t>
  </si>
  <si>
    <t>50,22.106,0.0708336,89.2761,1.103,0,0</t>
  </si>
  <si>
    <t>0,16.7838,0.310703,20.3939,4.08217,0,0</t>
  </si>
  <si>
    <t>5,11.6722,0.22207,40.2695,3.06234,0,0</t>
  </si>
  <si>
    <t>10,16.802,0.309276,39.4701,4.10329,0,0</t>
  </si>
  <si>
    <t>15,16.0641,0.287736,20.243,4.09017,0,0</t>
  </si>
  <si>
    <t>20,24.5218,0.383197,30.6917,4.89957,0,0</t>
  </si>
  <si>
    <t>25,12.5067,0.22631,59.3225,3.07145,0,0</t>
  </si>
  <si>
    <t>30,24.595,0.305565,44.6626,3.96612,0,0</t>
  </si>
  <si>
    <t>Tham số / Chỉ số</t>
  </si>
  <si>
    <t>Ảnh hưởng ở mmWave (28 GHz)</t>
  </si>
  <si>
    <t>Ảnh hưởng ở Sub-6 GHz</t>
  </si>
  <si>
    <t>Ý nghĩa vật lý / Kết luận cho đồ án</t>
  </si>
  <si>
    <t>Packet Loss (%)</t>
  </si>
  <si>
    <r>
      <t>Spike outage đột ngột</t>
    </r>
    <r>
      <rPr>
        <sz val="11"/>
        <color theme="1"/>
        <rFont val="Aptos Narrow"/>
        <family val="2"/>
        <scheme val="minor"/>
      </rPr>
      <t xml:space="preserve"> tại các tốc độ cụ thể (15,20,35,45 m/s) lên đến 96%</t>
    </r>
  </si>
  <si>
    <t>Dao động nhẹ 13–16%, không có spike lớn</t>
  </si>
  <si>
    <r>
      <t xml:space="preserve">Thể hiện mmWave có </t>
    </r>
    <r>
      <rPr>
        <b/>
        <sz val="11"/>
        <color theme="1"/>
        <rFont val="Aptos Narrow"/>
        <family val="2"/>
        <scheme val="minor"/>
      </rPr>
      <t>threshold effect</t>
    </r>
    <r>
      <rPr>
        <sz val="11"/>
        <color theme="1"/>
        <rFont val="Aptos Narrow"/>
        <family val="2"/>
        <scheme val="minor"/>
      </rPr>
      <t xml:space="preserve"> do Doppler shift lớn → coherence time ngắn → beam misalignment. Sub-6 ít nhạy cảm hơn.</t>
    </r>
  </si>
  <si>
    <t>Avg Delay (ms)</t>
  </si>
  <si>
    <t>Rất thấp (&lt;2 ms) khi ổn định, nhưng tăng vọt lên 47 ms ở điểm outage</t>
  </si>
  <si>
    <t>Trung bình cao (~18–23 ms), không tăng đột biến</t>
  </si>
  <si>
    <t>mmWave lý tưởng cho URLLC (C2 control) khi kênh tốt, nhưng không đáng tin cậy ở tốc độ cao.</t>
  </si>
  <si>
    <t>Jitter (ms)</t>
  </si>
  <si>
    <t>Thấp (&lt;0.5 ms) khi ổn định, tăng lên 0.7 ms ở điểm outage</t>
  </si>
  <si>
    <t>Rất thấp và ổn định (~0.23 ms)</t>
  </si>
  <si>
    <t>Jitter thấp ở mmWave khi không outage → phù hợp C2, nhưng spike jitter ở outage làm giảm độ tin cậy.</t>
  </si>
  <si>
    <t>Throughput (Mbps)</t>
  </si>
  <si>
    <t>Cao nhất khi ổn định (~1.85 Mbps), giảm mạnh ở outage</t>
  </si>
  <si>
    <t>Ổn định ~8.5 Mbps (cao hơn mmWave khi outage)</t>
  </si>
  <si>
    <t>mmWave có tiềm năng throughput cao hơn Sub-6 khi kênh tốt, nhưng bị giới hạn bởi outage Doppler.</t>
  </si>
  <si>
    <t>Phạm vi độ cao (m)</t>
  </si>
  <si>
    <t>mmWave (28 GHz)</t>
  </si>
  <si>
    <t>Sub-6 GHz</t>
  </si>
  <si>
    <t>Đánh giá &amp; Ý nghĩa khoa học</t>
  </si>
  <si>
    <t>1.5 – 10</t>
  </si>
  <si>
    <t>Xuất sắc: Delay ~0.75–0.80 ms, loss ~0%, throughput max 1.85 Mbps</t>
  </si>
  <si>
    <t>Tốt: Delay thấp (~0.5 ms), loss 0%, throughput 1.85 Mbps</t>
  </si>
  <si>
    <t>Cả hai băng tần đều hoạt động tốt ở độ cao gần mặt đất (góc nâng nhỏ, pathloss thấp).</t>
  </si>
  <si>
    <t>20 – 40</t>
  </si>
  <si>
    <r>
      <t>Outage nghiêm trọng</t>
    </r>
    <r>
      <rPr>
        <sz val="11"/>
        <color theme="1"/>
        <rFont val="Aptos Narrow"/>
        <family val="2"/>
        <scheme val="minor"/>
      </rPr>
      <t>: Loss 49–82%, delay tăng vọt (3–16 ms), throughput giảm mạnh (0.3–0.8 Mbps)</t>
    </r>
  </si>
  <si>
    <t>Ổn định ở 30 m, nhưng outage tạm thời tại 40 m (loss ~43%, delay ~3.35 ms)</t>
  </si>
  <si>
    <t>mmWave bắt đầu suy giảm mạnh do pathloss tăng theo độ cao + góc nâng lớn → dễ rơi vào vùng NLOS. Sub-6 vẫn chịu được tốt hơn.</t>
  </si>
  <si>
    <t>50 – 100</t>
  </si>
  <si>
    <r>
      <t xml:space="preserve">Phục hồi tốt ở 50–80 m (loss ~0%, delay &lt;1 ms), nhưng </t>
    </r>
    <r>
      <rPr>
        <b/>
        <sz val="11"/>
        <color theme="1"/>
        <rFont val="Aptos Narrow"/>
        <family val="2"/>
        <scheme val="minor"/>
      </rPr>
      <t>mất liên kết hoàn toàn</t>
    </r>
    <r>
      <rPr>
        <sz val="11"/>
        <color theme="1"/>
        <rFont val="Aptos Narrow"/>
        <family val="2"/>
        <scheme val="minor"/>
      </rPr>
      <t xml:space="preserve"> ở 100 m (loss ~99.99%)</t>
    </r>
  </si>
  <si>
    <t>Ổn định hoàn toàn: Loss ~0.01%, delay ~1.3–1.4 ms, throughput max</t>
  </si>
  <si>
    <t>mmWave có "khoảng phục hồi" ở độ cao trung bình (có thể do LOS tốt hơn), nhưng nhanh chóng mất liên kết khi độ cao tăng thêm.</t>
  </si>
  <si>
    <t>120 – 200</t>
  </si>
  <si>
    <r>
      <t>Mất liên kết gần như hoàn toàn</t>
    </r>
    <r>
      <rPr>
        <sz val="11"/>
        <color theme="1"/>
        <rFont val="Aptos Narrow"/>
        <family val="2"/>
        <scheme val="minor"/>
      </rPr>
      <t>: Loss ~99.99%, throughput = 0</t>
    </r>
  </si>
  <si>
    <t>Ổn định tốt ở hầu hết các điểm (loss ~0–0.01%, delay ~1 ms)</t>
  </si>
  <si>
    <t>Sub-6 duy trì liên kết nhờ tần số thấp, pathloss ít phụ thuộc vào khoảng cách và góc nâng. mmWave không khả thi ở độ cao lớn.</t>
  </si>
  <si>
    <t>Delay cao (8.2 ms), loss 11.4%, throughput ~9 Mbps</t>
  </si>
  <si>
    <t>Ổn định: Delay ~8.6 ms, loss ~13.9%, throughput ~8.74 Mbps</t>
  </si>
  <si>
    <t>mmWave bắt đầu suy giảm ở công suất thấp, nhưng vẫn chấp nhận được. Sub-6 không thay đổi.</t>
  </si>
  <si>
    <r>
      <t>Outage nghiêm trọng</t>
    </r>
    <r>
      <rPr>
        <sz val="11"/>
        <color theme="1"/>
        <rFont val="Aptos Narrow"/>
        <family val="2"/>
        <scheme val="minor"/>
      </rPr>
      <t>: Loss vọt lên 93.9%, delay 15.9 ms, throughput giảm</t>
    </r>
  </si>
  <si>
    <t>Không thay đổi chút nào</t>
  </si>
  <si>
    <t>mmWave rơi vào vùng uplink yếu → beamforming uplink thất bại, retransmission tăng mạnh.</t>
  </si>
  <si>
    <t>Loss vẫn cao (66.6%), delay vọt lên 62.9 ms, throughput cải thiện nhẹ</t>
  </si>
  <si>
    <t>Không thay đổi</t>
  </si>
  <si>
    <t>Tăng 2 dB giúp cải thiện một phần, nhưng chưa đủ để đạt độ tin cậy cao ở mmWave.</t>
  </si>
  <si>
    <t>Loss giảm xuống 55.3%, delay vẫn cao (42 ms), throughput tốt hơn</t>
  </si>
  <si>
    <t>mmWave có cải thiện khi UE TxPower cao hơn, nhưng vẫn không đạt mức ổn định như Sub-6.</t>
  </si>
  <si>
    <t>Chỉ số</t>
  </si>
  <si>
    <r>
      <t>Giảm mạnh</t>
    </r>
    <r>
      <rPr>
        <sz val="11"/>
        <color theme="1"/>
        <rFont val="Aptos Narrow"/>
        <family val="2"/>
        <scheme val="minor"/>
      </rPr>
      <t xml:space="preserve"> khi UE TxPower tăng: từ 93.9% (22 dBm) → 55.3% (26 dBm)</t>
    </r>
  </si>
  <si>
    <t>Không thay đổi (~13.86% ở mọi mức)</t>
  </si>
  <si>
    <t>mmWave uplink rất phụ thuộc vào công suất UE do pathloss lớn (~20 dB/km ở 28 GHz) và beamforming uplink cần SINR cao. Sub-6 có margin công suất lớn hơn.</t>
  </si>
  <si>
    <r>
      <t>Tăng vọt</t>
    </r>
    <r>
      <rPr>
        <sz val="11"/>
        <color theme="1"/>
        <rFont val="Aptos Narrow"/>
        <family val="2"/>
        <scheme val="minor"/>
      </rPr>
      <t xml:space="preserve"> ở mức TxPower thấp-trung bình (8–63 ms), cải thiện khi tăng TxPower</t>
    </r>
  </si>
  <si>
    <t>Ổn định ở ~8.6 ms</t>
  </si>
  <si>
    <t>Delay cao ở mmWave do retransmission và HARQ lặp lại khi uplink yếu → ảnh hưởng nghiêm trọng đến URLLC.</t>
  </si>
  <si>
    <t>Thấp và ổn định (~0.22–0.24 ms) ở mọi mức TxPower</t>
  </si>
  <si>
    <t>Thấp và ổn định (~0.23 ms)</t>
  </si>
  <si>
    <t>Jitter không bị ảnh hưởng nhiều bởi TxPower, chủ yếu do scheduler và channel variation.</t>
  </si>
  <si>
    <t>Tăng dần khi TxPower tăng (từ 6.9 → 8.3 Mbps), nhưng vẫn thấp hơn Sub-6 ở một số điểm</t>
  </si>
  <si>
    <t>Ổn định ~8.74 Mbps</t>
  </si>
  <si>
    <t>mmWave có tiềm năng throughput cao hơn nếu uplink đủ mạnh, nhưng bị giới hạn bởi TxPower UE.</t>
  </si>
  <si>
    <t>Phạm vi tốc độ (m/s)</t>
  </si>
  <si>
    <t>0 – 10</t>
  </si>
  <si>
    <t>Rất tốt: Delay ~0.9–1.3 ms, loss ~0%, throughput max.</t>
  </si>
  <si>
    <t>Delay cao (18–47 ms), loss 13–72% (có outlier), throughput ~7.9–8.7 Mbps</t>
  </si>
  <si>
    <t>mmWave vượt trội rõ rệt về latency và reliability khi Doppler thấp.</t>
  </si>
  <si>
    <t>15 – 20</t>
  </si>
  <si>
    <r>
      <t>Outage nghiêm trọng</t>
    </r>
    <r>
      <rPr>
        <sz val="11"/>
        <color theme="1"/>
        <rFont val="Aptos Narrow"/>
        <family val="2"/>
        <scheme val="minor"/>
      </rPr>
      <t>: Loss 58–82%, throughput giảm mạnh (1.27–1.62 Mbps).</t>
    </r>
  </si>
  <si>
    <t>Ổn định: Loss ~14–15%, delay ~19 ms, throughput ~8.7 Mbps</t>
  </si>
  <si>
    <t>Doppler bắt đầu gây misalignment beamforming ở mmWave → link bị gián đoạn tạm thời.</t>
  </si>
  <si>
    <t>25 – 40</t>
  </si>
  <si>
    <r>
      <t xml:space="preserve">Phục hồi tốt ở 25, 30, 40 m/s (loss ~0%, delay &lt;1 ms), nhưng </t>
    </r>
    <r>
      <rPr>
        <b/>
        <sz val="11"/>
        <color theme="1"/>
        <rFont val="Aptos Narrow"/>
        <family val="2"/>
        <scheme val="minor"/>
      </rPr>
      <t>outage nặng</t>
    </r>
    <r>
      <rPr>
        <sz val="11"/>
        <color theme="1"/>
        <rFont val="Aptos Narrow"/>
        <family val="2"/>
        <scheme val="minor"/>
      </rPr>
      <t xml:space="preserve"> tại 35 m/s (loss 77.9%).</t>
    </r>
  </si>
  <si>
    <t>Ổn định: Loss ~14–16%, delay ~19–21 ms, throughput ~8.5–8.7 Mbps</t>
  </si>
  <si>
    <r>
      <t xml:space="preserve">mmWave có tính chất </t>
    </r>
    <r>
      <rPr>
        <b/>
        <sz val="11"/>
        <color theme="1"/>
        <rFont val="Aptos Narrow"/>
        <family val="2"/>
        <scheme val="minor"/>
      </rPr>
      <t>ngắt quãng</t>
    </r>
    <r>
      <rPr>
        <sz val="11"/>
        <color theme="1"/>
        <rFont val="Aptos Narrow"/>
        <family val="2"/>
        <scheme val="minor"/>
      </rPr>
      <t xml:space="preserve"> (intermittent outage), không phải degradation dần dần.</t>
    </r>
  </si>
  <si>
    <t>45 – 50</t>
  </si>
  <si>
    <r>
      <t>Outage đỉnh điểm</t>
    </r>
    <r>
      <rPr>
        <sz val="11"/>
        <color theme="1"/>
        <rFont val="Aptos Narrow"/>
        <family val="2"/>
        <scheme val="minor"/>
      </rPr>
      <t xml:space="preserve"> tại 45 m/s (loss 96.6%, delay 47.9 ms), phục hồi tốt ở 50 m/s.</t>
    </r>
  </si>
  <si>
    <t>Vẫn ổn định: Loss ~16%, delay ~21–22 ms, throughput ~8.5 Mbps</t>
  </si>
  <si>
    <t>Ở tốc độ rất cao, mmWave dễ rơi vào vùng "critical velocity" gây beam tracking thất bại.</t>
  </si>
  <si>
    <t>10. 913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</si>
</sst>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3"/>
      <color rgb="FF000000"/>
      <name val="Times New Roman"/>
      <family val="1"/>
    </font>
    <font>
      <b/>
      <sz val="13"/>
      <color rgb="FF000000"/>
      <name val="Times New Roman"/>
      <family val="1"/>
    </font>
    <font>
      <b/>
      <sz val="11"/>
      <color theme="1"/>
      <name val="Aptos Narrow"/>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2" fontId="0" fillId="0" borderId="0" xfId="0" applyNumberFormat="1"/>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3" fillId="0" borderId="0" xfId="0" applyFont="1"/>
    <xf numFmtId="0" fontId="0" fillId="0" borderId="0" xfId="0" applyAlignment="1">
      <alignment horizontal="left" vertical="center" inden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UAV Speed on Transmission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speed'!$B$1</c:f>
              <c:strCache>
                <c:ptCount val="1"/>
                <c:pt idx="0">
                  <c:v>Avg Delay mmWave </c:v>
                </c:pt>
              </c:strCache>
            </c:strRef>
          </c:tx>
          <c:spPr>
            <a:ln w="28575" cap="rnd">
              <a:solidFill>
                <a:schemeClr val="accent1"/>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speed'!$B$2:$B$12</c:f>
              <c:numCache>
                <c:formatCode>General</c:formatCode>
                <c:ptCount val="11"/>
                <c:pt idx="0">
                  <c:v>0.94199999999999995</c:v>
                </c:pt>
                <c:pt idx="1">
                  <c:v>0.94199999999999995</c:v>
                </c:pt>
                <c:pt idx="2">
                  <c:v>1.2989999999999999</c:v>
                </c:pt>
                <c:pt idx="3">
                  <c:v>1.4870000000000001</c:v>
                </c:pt>
                <c:pt idx="4">
                  <c:v>1.129</c:v>
                </c:pt>
                <c:pt idx="5">
                  <c:v>0.80900000000000005</c:v>
                </c:pt>
                <c:pt idx="6">
                  <c:v>0.78</c:v>
                </c:pt>
                <c:pt idx="7">
                  <c:v>1.839</c:v>
                </c:pt>
                <c:pt idx="8">
                  <c:v>0.746</c:v>
                </c:pt>
                <c:pt idx="9">
                  <c:v>47.935000000000002</c:v>
                </c:pt>
                <c:pt idx="10">
                  <c:v>0.754</c:v>
                </c:pt>
              </c:numCache>
            </c:numRef>
          </c:val>
          <c:smooth val="0"/>
          <c:extLst>
            <c:ext xmlns:c16="http://schemas.microsoft.com/office/drawing/2014/chart" uri="{C3380CC4-5D6E-409C-BE32-E72D297353CC}">
              <c16:uniqueId val="{00000000-D3C3-4DC8-ADF5-264EAC7E9E51}"/>
            </c:ext>
          </c:extLst>
        </c:ser>
        <c:ser>
          <c:idx val="1"/>
          <c:order val="1"/>
          <c:tx>
            <c:strRef>
              <c:f>'so sánh speed'!$I$1</c:f>
              <c:strCache>
                <c:ptCount val="1"/>
                <c:pt idx="0">
                  <c:v>Avg Delay Sub-6 </c:v>
                </c:pt>
              </c:strCache>
            </c:strRef>
          </c:tx>
          <c:spPr>
            <a:ln w="28575" cap="rnd">
              <a:solidFill>
                <a:schemeClr val="accent2"/>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speed'!$I$2:$I$12</c:f>
              <c:numCache>
                <c:formatCode>General</c:formatCode>
                <c:ptCount val="11"/>
                <c:pt idx="0">
                  <c:v>18.498000000000001</c:v>
                </c:pt>
                <c:pt idx="1">
                  <c:v>38.566000000000003</c:v>
                </c:pt>
                <c:pt idx="2">
                  <c:v>47.127000000000002</c:v>
                </c:pt>
                <c:pt idx="3">
                  <c:v>18.809000000000001</c:v>
                </c:pt>
                <c:pt idx="4">
                  <c:v>19.652999999999999</c:v>
                </c:pt>
                <c:pt idx="5">
                  <c:v>20.079999999999998</c:v>
                </c:pt>
                <c:pt idx="6">
                  <c:v>19.544</c:v>
                </c:pt>
                <c:pt idx="7">
                  <c:v>23.7897</c:v>
                </c:pt>
                <c:pt idx="8">
                  <c:v>20.658999999999999</c:v>
                </c:pt>
                <c:pt idx="9">
                  <c:v>23.745000000000001</c:v>
                </c:pt>
                <c:pt idx="10">
                  <c:v>22.468</c:v>
                </c:pt>
              </c:numCache>
            </c:numRef>
          </c:val>
          <c:smooth val="0"/>
          <c:extLst>
            <c:ext xmlns:c16="http://schemas.microsoft.com/office/drawing/2014/chart" uri="{C3380CC4-5D6E-409C-BE32-E72D297353CC}">
              <c16:uniqueId val="{00000001-D3C3-4DC8-ADF5-264EAC7E9E51}"/>
            </c:ext>
          </c:extLst>
        </c:ser>
        <c:dLbls>
          <c:showLegendKey val="0"/>
          <c:showVal val="0"/>
          <c:showCatName val="0"/>
          <c:showSerName val="0"/>
          <c:showPercent val="0"/>
          <c:showBubbleSize val="0"/>
        </c:dLbls>
        <c:smooth val="0"/>
        <c:axId val="1047717071"/>
        <c:axId val="1047717551"/>
      </c:lineChart>
      <c:catAx>
        <c:axId val="1047717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Speed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17551"/>
        <c:crosses val="autoZero"/>
        <c:auto val="1"/>
        <c:lblAlgn val="ctr"/>
        <c:lblOffset val="100"/>
        <c:noMultiLvlLbl val="0"/>
      </c:catAx>
      <c:valAx>
        <c:axId val="1047717551"/>
        <c:scaling>
          <c:orientation val="minMax"/>
          <c:max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Delay (ms)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1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UAV Speed on Jitter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speed'!$C$1</c:f>
              <c:strCache>
                <c:ptCount val="1"/>
                <c:pt idx="0">
                  <c:v>Jitter mmWave</c:v>
                </c:pt>
              </c:strCache>
            </c:strRef>
          </c:tx>
          <c:spPr>
            <a:ln w="28575" cap="rnd">
              <a:solidFill>
                <a:schemeClr val="accent1"/>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speed'!$C$2:$C$12</c:f>
              <c:numCache>
                <c:formatCode>General</c:formatCode>
                <c:ptCount val="11"/>
                <c:pt idx="0">
                  <c:v>0.5</c:v>
                </c:pt>
                <c:pt idx="1">
                  <c:v>0.5</c:v>
                </c:pt>
                <c:pt idx="2">
                  <c:v>0.27200000000000002</c:v>
                </c:pt>
                <c:pt idx="3">
                  <c:v>0.32900000000000001</c:v>
                </c:pt>
                <c:pt idx="4">
                  <c:v>0.21299999999999999</c:v>
                </c:pt>
                <c:pt idx="5">
                  <c:v>0.23300000000000001</c:v>
                </c:pt>
                <c:pt idx="6">
                  <c:v>0.17299999999999999</c:v>
                </c:pt>
                <c:pt idx="7">
                  <c:v>0.371</c:v>
                </c:pt>
                <c:pt idx="8">
                  <c:v>0.105</c:v>
                </c:pt>
                <c:pt idx="9">
                  <c:v>0.72</c:v>
                </c:pt>
                <c:pt idx="10">
                  <c:v>0.12</c:v>
                </c:pt>
              </c:numCache>
            </c:numRef>
          </c:val>
          <c:smooth val="0"/>
          <c:extLst>
            <c:ext xmlns:c16="http://schemas.microsoft.com/office/drawing/2014/chart" uri="{C3380CC4-5D6E-409C-BE32-E72D297353CC}">
              <c16:uniqueId val="{00000000-3D92-4497-94C4-CF6B22DFBB51}"/>
            </c:ext>
          </c:extLst>
        </c:ser>
        <c:ser>
          <c:idx val="1"/>
          <c:order val="1"/>
          <c:tx>
            <c:strRef>
              <c:f>'so sánh speed'!$J$1</c:f>
              <c:strCache>
                <c:ptCount val="1"/>
                <c:pt idx="0">
                  <c:v>Jitter Sub-6 </c:v>
                </c:pt>
              </c:strCache>
            </c:strRef>
          </c:tx>
          <c:spPr>
            <a:ln w="28575" cap="rnd">
              <a:solidFill>
                <a:schemeClr val="accent2"/>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speed'!$J$2:$J$12</c:f>
              <c:numCache>
                <c:formatCode>General</c:formatCode>
                <c:ptCount val="11"/>
                <c:pt idx="0">
                  <c:v>0.22700000000000001</c:v>
                </c:pt>
                <c:pt idx="1">
                  <c:v>0.24199999999999999</c:v>
                </c:pt>
                <c:pt idx="2">
                  <c:v>0.249</c:v>
                </c:pt>
                <c:pt idx="3">
                  <c:v>0.22900000000000001</c:v>
                </c:pt>
                <c:pt idx="4">
                  <c:v>0.22600000000000001</c:v>
                </c:pt>
                <c:pt idx="5">
                  <c:v>0.23200000000000001</c:v>
                </c:pt>
                <c:pt idx="6">
                  <c:v>0.22800000000000001</c:v>
                </c:pt>
                <c:pt idx="7">
                  <c:v>0.22944700000000001</c:v>
                </c:pt>
                <c:pt idx="8">
                  <c:v>0.23200000000000001</c:v>
                </c:pt>
                <c:pt idx="9">
                  <c:v>0.23268</c:v>
                </c:pt>
                <c:pt idx="10">
                  <c:v>0.23100000000000001</c:v>
                </c:pt>
              </c:numCache>
            </c:numRef>
          </c:val>
          <c:smooth val="0"/>
          <c:extLst>
            <c:ext xmlns:c16="http://schemas.microsoft.com/office/drawing/2014/chart" uri="{C3380CC4-5D6E-409C-BE32-E72D297353CC}">
              <c16:uniqueId val="{00000001-3D92-4497-94C4-CF6B22DFBB51}"/>
            </c:ext>
          </c:extLst>
        </c:ser>
        <c:dLbls>
          <c:showLegendKey val="0"/>
          <c:showVal val="0"/>
          <c:showCatName val="0"/>
          <c:showSerName val="0"/>
          <c:showPercent val="0"/>
          <c:showBubbleSize val="0"/>
        </c:dLbls>
        <c:smooth val="0"/>
        <c:axId val="1447075119"/>
        <c:axId val="1447076079"/>
      </c:lineChart>
      <c:catAx>
        <c:axId val="144707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Speed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76079"/>
        <c:crosses val="autoZero"/>
        <c:auto val="1"/>
        <c:lblAlgn val="ctr"/>
        <c:lblOffset val="100"/>
        <c:noMultiLvlLbl val="0"/>
      </c:catAx>
      <c:valAx>
        <c:axId val="144707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Jitter (ms)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7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UAV Speed on Packet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speed'!$D$1</c:f>
              <c:strCache>
                <c:ptCount val="1"/>
                <c:pt idx="0">
                  <c:v>Packet Loss mmWave </c:v>
                </c:pt>
              </c:strCache>
            </c:strRef>
          </c:tx>
          <c:spPr>
            <a:ln w="28575" cap="rnd">
              <a:solidFill>
                <a:schemeClr val="accent1"/>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speed'!$D$2:$D$12</c:f>
              <c:numCache>
                <c:formatCode>General</c:formatCode>
                <c:ptCount val="11"/>
                <c:pt idx="0">
                  <c:v>3.0000000000000001E-3</c:v>
                </c:pt>
                <c:pt idx="1">
                  <c:v>3.0000000000000001E-3</c:v>
                </c:pt>
                <c:pt idx="2">
                  <c:v>6.0000000000000001E-3</c:v>
                </c:pt>
                <c:pt idx="3">
                  <c:v>58.76</c:v>
                </c:pt>
                <c:pt idx="4">
                  <c:v>82.218999999999994</c:v>
                </c:pt>
                <c:pt idx="5">
                  <c:v>3.0000000000000001E-3</c:v>
                </c:pt>
                <c:pt idx="6">
                  <c:v>3.0000000000000001E-3</c:v>
                </c:pt>
                <c:pt idx="7">
                  <c:v>77.930000000000007</c:v>
                </c:pt>
                <c:pt idx="8">
                  <c:v>3.0000000000000001E-3</c:v>
                </c:pt>
                <c:pt idx="9">
                  <c:v>96.637</c:v>
                </c:pt>
                <c:pt idx="10">
                  <c:v>3.0000000000000001E-3</c:v>
                </c:pt>
              </c:numCache>
            </c:numRef>
          </c:val>
          <c:smooth val="0"/>
          <c:extLst>
            <c:ext xmlns:c16="http://schemas.microsoft.com/office/drawing/2014/chart" uri="{C3380CC4-5D6E-409C-BE32-E72D297353CC}">
              <c16:uniqueId val="{00000000-E298-4707-BA65-A18CC8524451}"/>
            </c:ext>
          </c:extLst>
        </c:ser>
        <c:ser>
          <c:idx val="1"/>
          <c:order val="1"/>
          <c:tx>
            <c:strRef>
              <c:f>'so sánh speed'!$K$1</c:f>
              <c:strCache>
                <c:ptCount val="1"/>
                <c:pt idx="0">
                  <c:v>Packet Loss Sub-6 </c:v>
                </c:pt>
              </c:strCache>
            </c:strRef>
          </c:tx>
          <c:spPr>
            <a:ln w="28575" cap="rnd">
              <a:solidFill>
                <a:schemeClr val="accent2"/>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speed'!$K$2:$K$12</c:f>
              <c:numCache>
                <c:formatCode>General</c:formatCode>
                <c:ptCount val="11"/>
                <c:pt idx="0">
                  <c:v>13.904</c:v>
                </c:pt>
                <c:pt idx="1">
                  <c:v>72.283000000000001</c:v>
                </c:pt>
                <c:pt idx="2">
                  <c:v>47.756</c:v>
                </c:pt>
                <c:pt idx="3">
                  <c:v>15</c:v>
                </c:pt>
                <c:pt idx="4">
                  <c:v>13.705</c:v>
                </c:pt>
                <c:pt idx="5">
                  <c:v>15.978999999999999</c:v>
                </c:pt>
                <c:pt idx="6">
                  <c:v>14.317</c:v>
                </c:pt>
                <c:pt idx="7">
                  <c:v>15.2689</c:v>
                </c:pt>
                <c:pt idx="8">
                  <c:v>15.955</c:v>
                </c:pt>
                <c:pt idx="9">
                  <c:v>16.335999999999999</c:v>
                </c:pt>
                <c:pt idx="10">
                  <c:v>15.906000000000001</c:v>
                </c:pt>
              </c:numCache>
            </c:numRef>
          </c:val>
          <c:smooth val="0"/>
          <c:extLst>
            <c:ext xmlns:c16="http://schemas.microsoft.com/office/drawing/2014/chart" uri="{C3380CC4-5D6E-409C-BE32-E72D297353CC}">
              <c16:uniqueId val="{00000001-E298-4707-BA65-A18CC8524451}"/>
            </c:ext>
          </c:extLst>
        </c:ser>
        <c:dLbls>
          <c:showLegendKey val="0"/>
          <c:showVal val="0"/>
          <c:showCatName val="0"/>
          <c:showSerName val="0"/>
          <c:showPercent val="0"/>
          <c:showBubbleSize val="0"/>
        </c:dLbls>
        <c:smooth val="0"/>
        <c:axId val="1174777263"/>
        <c:axId val="1174774383"/>
      </c:lineChart>
      <c:catAx>
        <c:axId val="1174777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Speed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74383"/>
        <c:crosses val="autoZero"/>
        <c:auto val="1"/>
        <c:lblAlgn val="ctr"/>
        <c:lblOffset val="100"/>
        <c:noMultiLvlLbl val="0"/>
      </c:catAx>
      <c:valAx>
        <c:axId val="117477438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Packet</a:t>
                </a:r>
                <a:r>
                  <a:rPr lang="en-US" baseline="0"/>
                  <a:t> loss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7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UAV Speed on Throughput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speed'!$E$1</c:f>
              <c:strCache>
                <c:ptCount val="1"/>
                <c:pt idx="0">
                  <c:v>Throughput mmWave</c:v>
                </c:pt>
              </c:strCache>
            </c:strRef>
          </c:tx>
          <c:spPr>
            <a:ln w="28575" cap="rnd">
              <a:solidFill>
                <a:schemeClr val="accent1"/>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speed'!$E$2:$E$12</c:f>
              <c:numCache>
                <c:formatCode>General</c:formatCode>
                <c:ptCount val="11"/>
                <c:pt idx="0">
                  <c:v>1.845</c:v>
                </c:pt>
                <c:pt idx="1">
                  <c:v>1.845</c:v>
                </c:pt>
                <c:pt idx="2">
                  <c:v>1.845</c:v>
                </c:pt>
                <c:pt idx="3">
                  <c:v>1.6160000000000001</c:v>
                </c:pt>
                <c:pt idx="4">
                  <c:v>1.2649999999999999</c:v>
                </c:pt>
                <c:pt idx="5">
                  <c:v>1.845</c:v>
                </c:pt>
                <c:pt idx="6">
                  <c:v>1.845</c:v>
                </c:pt>
                <c:pt idx="7">
                  <c:v>1.323</c:v>
                </c:pt>
                <c:pt idx="8">
                  <c:v>1.845</c:v>
                </c:pt>
                <c:pt idx="9">
                  <c:v>0.45200000000000001</c:v>
                </c:pt>
                <c:pt idx="10">
                  <c:v>1.845</c:v>
                </c:pt>
              </c:numCache>
            </c:numRef>
          </c:val>
          <c:smooth val="0"/>
          <c:extLst>
            <c:ext xmlns:c16="http://schemas.microsoft.com/office/drawing/2014/chart" uri="{C3380CC4-5D6E-409C-BE32-E72D297353CC}">
              <c16:uniqueId val="{00000000-A17F-4E81-9515-4EEC700F72E2}"/>
            </c:ext>
          </c:extLst>
        </c:ser>
        <c:ser>
          <c:idx val="1"/>
          <c:order val="1"/>
          <c:tx>
            <c:strRef>
              <c:f>'so sánh speed'!$L$1</c:f>
              <c:strCache>
                <c:ptCount val="1"/>
                <c:pt idx="0">
                  <c:v>Throughput Sub-6  </c:v>
                </c:pt>
              </c:strCache>
            </c:strRef>
          </c:tx>
          <c:spPr>
            <a:ln w="28575" cap="rnd">
              <a:solidFill>
                <a:schemeClr val="accent2"/>
              </a:solidFill>
              <a:round/>
            </a:ln>
            <a:effectLst/>
          </c:spPr>
          <c:marker>
            <c:symbol val="none"/>
          </c:marker>
          <c:cat>
            <c:numRef>
              <c:f>'so sánh speed'!$A$2:$A$12</c:f>
              <c:numCache>
                <c:formatCode>General</c:formatCode>
                <c:ptCount val="11"/>
                <c:pt idx="0">
                  <c:v>0</c:v>
                </c:pt>
                <c:pt idx="1">
                  <c:v>5</c:v>
                </c:pt>
                <c:pt idx="2">
                  <c:v>10</c:v>
                </c:pt>
                <c:pt idx="3">
                  <c:v>15</c:v>
                </c:pt>
                <c:pt idx="4">
                  <c:v>20</c:v>
                </c:pt>
                <c:pt idx="5">
                  <c:v>25</c:v>
                </c:pt>
                <c:pt idx="6">
                  <c:v>30</c:v>
                </c:pt>
                <c:pt idx="7">
                  <c:v>35</c:v>
                </c:pt>
                <c:pt idx="8">
                  <c:v>40</c:v>
                </c:pt>
                <c:pt idx="9">
                  <c:v>45</c:v>
                </c:pt>
                <c:pt idx="10">
                  <c:v>50</c:v>
                </c:pt>
              </c:numCache>
            </c:numRef>
          </c:cat>
          <c:val>
            <c:numRef>
              <c:f>'so sánh speed'!$L$2:$L$12</c:f>
              <c:numCache>
                <c:formatCode>General</c:formatCode>
                <c:ptCount val="11"/>
                <c:pt idx="0">
                  <c:v>8.7390000000000008</c:v>
                </c:pt>
                <c:pt idx="1">
                  <c:v>7.93</c:v>
                </c:pt>
                <c:pt idx="2">
                  <c:v>7.5490000000000004</c:v>
                </c:pt>
                <c:pt idx="3">
                  <c:v>8.6690000000000005</c:v>
                </c:pt>
                <c:pt idx="4">
                  <c:v>8.7609999999999992</c:v>
                </c:pt>
                <c:pt idx="5">
                  <c:v>8.5280000000000005</c:v>
                </c:pt>
                <c:pt idx="6">
                  <c:v>8.6969999999999992</c:v>
                </c:pt>
                <c:pt idx="7">
                  <c:v>8.6000099999999993</c:v>
                </c:pt>
                <c:pt idx="8">
                  <c:v>8.5310000000000006</c:v>
                </c:pt>
                <c:pt idx="9">
                  <c:v>8.4916999999999998</c:v>
                </c:pt>
                <c:pt idx="10">
                  <c:v>8.5350000000000001</c:v>
                </c:pt>
              </c:numCache>
            </c:numRef>
          </c:val>
          <c:smooth val="0"/>
          <c:extLst>
            <c:ext xmlns:c16="http://schemas.microsoft.com/office/drawing/2014/chart" uri="{C3380CC4-5D6E-409C-BE32-E72D297353CC}">
              <c16:uniqueId val="{00000001-A17F-4E81-9515-4EEC700F72E2}"/>
            </c:ext>
          </c:extLst>
        </c:ser>
        <c:dLbls>
          <c:showLegendKey val="0"/>
          <c:showVal val="0"/>
          <c:showCatName val="0"/>
          <c:showSerName val="0"/>
          <c:showPercent val="0"/>
          <c:showBubbleSize val="0"/>
        </c:dLbls>
        <c:smooth val="0"/>
        <c:axId val="1258096223"/>
        <c:axId val="1258098623"/>
      </c:lineChart>
      <c:catAx>
        <c:axId val="125809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Speed (m/s)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098623"/>
        <c:crosses val="autoZero"/>
        <c:auto val="1"/>
        <c:lblAlgn val="ctr"/>
        <c:lblOffset val="100"/>
        <c:noMultiLvlLbl val="0"/>
      </c:catAx>
      <c:valAx>
        <c:axId val="125809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Throughput (Mbps)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096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UAV altitude on Transmission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altitude'!$B$1</c:f>
              <c:strCache>
                <c:ptCount val="1"/>
                <c:pt idx="0">
                  <c:v>Avg Delay mmWave </c:v>
                </c:pt>
              </c:strCache>
            </c:strRef>
          </c:tx>
          <c:spPr>
            <a:ln w="28575" cap="rnd">
              <a:solidFill>
                <a:schemeClr val="accent1"/>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altitude'!$B$2:$B$14</c:f>
              <c:numCache>
                <c:formatCode>General</c:formatCode>
                <c:ptCount val="13"/>
                <c:pt idx="0">
                  <c:v>0.746</c:v>
                </c:pt>
                <c:pt idx="1">
                  <c:v>0.80400000000000005</c:v>
                </c:pt>
                <c:pt idx="2">
                  <c:v>15.746</c:v>
                </c:pt>
                <c:pt idx="3">
                  <c:v>4.8869999999999996</c:v>
                </c:pt>
                <c:pt idx="4">
                  <c:v>2.9580000000000002</c:v>
                </c:pt>
                <c:pt idx="5">
                  <c:v>0.81</c:v>
                </c:pt>
                <c:pt idx="6">
                  <c:v>0.72699999999999998</c:v>
                </c:pt>
                <c:pt idx="7">
                  <c:v>5.0199999999999995E-4</c:v>
                </c:pt>
                <c:pt idx="8">
                  <c:v>5.0199999999999995E-4</c:v>
                </c:pt>
                <c:pt idx="9">
                  <c:v>5.0199999999999995E-4</c:v>
                </c:pt>
                <c:pt idx="10">
                  <c:v>5.0199999999999995E-4</c:v>
                </c:pt>
                <c:pt idx="11">
                  <c:v>5.0199999999999995E-4</c:v>
                </c:pt>
                <c:pt idx="12">
                  <c:v>5.0199999999999995E-4</c:v>
                </c:pt>
              </c:numCache>
            </c:numRef>
          </c:val>
          <c:smooth val="0"/>
          <c:extLst>
            <c:ext xmlns:c16="http://schemas.microsoft.com/office/drawing/2014/chart" uri="{C3380CC4-5D6E-409C-BE32-E72D297353CC}">
              <c16:uniqueId val="{00000000-271F-40AE-985B-2CED030C9AA1}"/>
            </c:ext>
          </c:extLst>
        </c:ser>
        <c:ser>
          <c:idx val="1"/>
          <c:order val="1"/>
          <c:tx>
            <c:strRef>
              <c:f>'so sánh altitude'!$I$1</c:f>
              <c:strCache>
                <c:ptCount val="1"/>
                <c:pt idx="0">
                  <c:v>Avg Delay Sub-6 </c:v>
                </c:pt>
              </c:strCache>
            </c:strRef>
          </c:tx>
          <c:spPr>
            <a:ln w="28575" cap="rnd">
              <a:solidFill>
                <a:schemeClr val="accent2"/>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altitude'!$I$2:$I$14</c:f>
              <c:numCache>
                <c:formatCode>General</c:formatCode>
                <c:ptCount val="13"/>
                <c:pt idx="0">
                  <c:v>8.5020000000000007</c:v>
                </c:pt>
                <c:pt idx="1">
                  <c:v>10.502000000000001</c:v>
                </c:pt>
                <c:pt idx="2">
                  <c:v>0</c:v>
                </c:pt>
                <c:pt idx="3">
                  <c:v>11.195</c:v>
                </c:pt>
                <c:pt idx="4">
                  <c:v>13.352</c:v>
                </c:pt>
                <c:pt idx="5">
                  <c:v>11.329000000000001</c:v>
                </c:pt>
                <c:pt idx="6">
                  <c:v>11.442</c:v>
                </c:pt>
                <c:pt idx="7">
                  <c:v>11.429</c:v>
                </c:pt>
                <c:pt idx="8">
                  <c:v>11.122999999999999</c:v>
                </c:pt>
                <c:pt idx="9">
                  <c:v>10.898</c:v>
                </c:pt>
                <c:pt idx="10">
                  <c:v>11.43</c:v>
                </c:pt>
                <c:pt idx="11">
                  <c:v>11.023999999999999</c:v>
                </c:pt>
                <c:pt idx="12">
                  <c:v>11.067</c:v>
                </c:pt>
              </c:numCache>
            </c:numRef>
          </c:val>
          <c:smooth val="0"/>
          <c:extLst>
            <c:ext xmlns:c16="http://schemas.microsoft.com/office/drawing/2014/chart" uri="{C3380CC4-5D6E-409C-BE32-E72D297353CC}">
              <c16:uniqueId val="{00000001-271F-40AE-985B-2CED030C9AA1}"/>
            </c:ext>
          </c:extLst>
        </c:ser>
        <c:dLbls>
          <c:showLegendKey val="0"/>
          <c:showVal val="0"/>
          <c:showCatName val="0"/>
          <c:showSerName val="0"/>
          <c:showPercent val="0"/>
          <c:showBubbleSize val="0"/>
        </c:dLbls>
        <c:smooth val="0"/>
        <c:axId val="1047717071"/>
        <c:axId val="1047717551"/>
      </c:lineChart>
      <c:catAx>
        <c:axId val="1047717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Altitude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17551"/>
        <c:crosses val="autoZero"/>
        <c:auto val="1"/>
        <c:lblAlgn val="ctr"/>
        <c:lblOffset val="100"/>
        <c:noMultiLvlLbl val="0"/>
      </c:catAx>
      <c:valAx>
        <c:axId val="1047717551"/>
        <c:scaling>
          <c:orientation val="minMax"/>
          <c:max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Delay (ms)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1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UAV altitude on Jitter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altitude'!$C$1</c:f>
              <c:strCache>
                <c:ptCount val="1"/>
                <c:pt idx="0">
                  <c:v>Jitter mmWave</c:v>
                </c:pt>
              </c:strCache>
            </c:strRef>
          </c:tx>
          <c:spPr>
            <a:ln w="28575" cap="rnd">
              <a:solidFill>
                <a:schemeClr val="accent1"/>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altitude'!$C$2:$C$14</c:f>
              <c:numCache>
                <c:formatCode>General</c:formatCode>
                <c:ptCount val="13"/>
                <c:pt idx="0">
                  <c:v>0.105</c:v>
                </c:pt>
                <c:pt idx="1">
                  <c:v>0.222</c:v>
                </c:pt>
                <c:pt idx="2">
                  <c:v>0.47399999999999998</c:v>
                </c:pt>
                <c:pt idx="3">
                  <c:v>0.39200000000000002</c:v>
                </c:pt>
                <c:pt idx="4">
                  <c:v>0.251</c:v>
                </c:pt>
                <c:pt idx="5">
                  <c:v>0.23400000000000001</c:v>
                </c:pt>
                <c:pt idx="6">
                  <c:v>6.5000000000000002E-2</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26EF-4681-B7C6-3AB8502482C7}"/>
            </c:ext>
          </c:extLst>
        </c:ser>
        <c:ser>
          <c:idx val="1"/>
          <c:order val="1"/>
          <c:tx>
            <c:strRef>
              <c:f>'so sánh altitude'!$J$1</c:f>
              <c:strCache>
                <c:ptCount val="1"/>
                <c:pt idx="0">
                  <c:v>Jitter Sub-6 </c:v>
                </c:pt>
              </c:strCache>
            </c:strRef>
          </c:tx>
          <c:spPr>
            <a:ln w="28575" cap="rnd">
              <a:solidFill>
                <a:schemeClr val="accent2"/>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altitude'!$J$2:$J$14</c:f>
              <c:numCache>
                <c:formatCode>General</c:formatCode>
                <c:ptCount val="13"/>
                <c:pt idx="0">
                  <c:v>0.22500000000000001</c:v>
                </c:pt>
                <c:pt idx="1">
                  <c:v>0.21299999999999999</c:v>
                </c:pt>
                <c:pt idx="2">
                  <c:v>0.245</c:v>
                </c:pt>
                <c:pt idx="3">
                  <c:v>0.24399999999999999</c:v>
                </c:pt>
                <c:pt idx="4">
                  <c:v>0.33900000000000002</c:v>
                </c:pt>
                <c:pt idx="5">
                  <c:v>0.28699999999999998</c:v>
                </c:pt>
                <c:pt idx="6">
                  <c:v>0.33300000000000002</c:v>
                </c:pt>
                <c:pt idx="7">
                  <c:v>0.35</c:v>
                </c:pt>
                <c:pt idx="8">
                  <c:v>0.25700000000000001</c:v>
                </c:pt>
                <c:pt idx="9">
                  <c:v>0.115</c:v>
                </c:pt>
                <c:pt idx="10">
                  <c:v>0.35</c:v>
                </c:pt>
                <c:pt idx="11">
                  <c:v>0.16500000000000001</c:v>
                </c:pt>
                <c:pt idx="12">
                  <c:v>0.188</c:v>
                </c:pt>
              </c:numCache>
            </c:numRef>
          </c:val>
          <c:smooth val="0"/>
          <c:extLst>
            <c:ext xmlns:c16="http://schemas.microsoft.com/office/drawing/2014/chart" uri="{C3380CC4-5D6E-409C-BE32-E72D297353CC}">
              <c16:uniqueId val="{00000001-26EF-4681-B7C6-3AB8502482C7}"/>
            </c:ext>
          </c:extLst>
        </c:ser>
        <c:dLbls>
          <c:showLegendKey val="0"/>
          <c:showVal val="0"/>
          <c:showCatName val="0"/>
          <c:showSerName val="0"/>
          <c:showPercent val="0"/>
          <c:showBubbleSize val="0"/>
        </c:dLbls>
        <c:smooth val="0"/>
        <c:axId val="1447075119"/>
        <c:axId val="1447076079"/>
      </c:lineChart>
      <c:catAx>
        <c:axId val="144707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Altitude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76079"/>
        <c:crosses val="autoZero"/>
        <c:auto val="1"/>
        <c:lblAlgn val="ctr"/>
        <c:lblOffset val="100"/>
        <c:noMultiLvlLbl val="0"/>
      </c:catAx>
      <c:valAx>
        <c:axId val="1447076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Jitter (ms)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7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UAV altitude on Packet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altitude'!$D$1</c:f>
              <c:strCache>
                <c:ptCount val="1"/>
                <c:pt idx="0">
                  <c:v>Packet Loss mmWave </c:v>
                </c:pt>
              </c:strCache>
            </c:strRef>
          </c:tx>
          <c:spPr>
            <a:ln w="28575" cap="rnd">
              <a:solidFill>
                <a:schemeClr val="accent1"/>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altitude'!$D$2:$D$14</c:f>
              <c:numCache>
                <c:formatCode>General</c:formatCode>
                <c:ptCount val="13"/>
                <c:pt idx="0">
                  <c:v>3.0000000000000001E-3</c:v>
                </c:pt>
                <c:pt idx="1">
                  <c:v>3.0000000000000001E-3</c:v>
                </c:pt>
                <c:pt idx="2">
                  <c:v>82.468999999999994</c:v>
                </c:pt>
                <c:pt idx="3">
                  <c:v>56.226999999999997</c:v>
                </c:pt>
                <c:pt idx="4">
                  <c:v>49.078000000000003</c:v>
                </c:pt>
                <c:pt idx="5">
                  <c:v>3.0000000000000001E-3</c:v>
                </c:pt>
                <c:pt idx="6">
                  <c:v>3.0000000000000001E-3</c:v>
                </c:pt>
                <c:pt idx="7">
                  <c:v>99.989000000000004</c:v>
                </c:pt>
                <c:pt idx="8">
                  <c:v>99.989000000000004</c:v>
                </c:pt>
                <c:pt idx="9">
                  <c:v>99.989000000000004</c:v>
                </c:pt>
                <c:pt idx="10">
                  <c:v>99.989000000000004</c:v>
                </c:pt>
                <c:pt idx="11">
                  <c:v>99.989000000000004</c:v>
                </c:pt>
                <c:pt idx="12">
                  <c:v>99.989000000000004</c:v>
                </c:pt>
              </c:numCache>
            </c:numRef>
          </c:val>
          <c:smooth val="0"/>
          <c:extLst>
            <c:ext xmlns:c16="http://schemas.microsoft.com/office/drawing/2014/chart" uri="{C3380CC4-5D6E-409C-BE32-E72D297353CC}">
              <c16:uniqueId val="{00000000-D05E-4756-8A90-11261C954737}"/>
            </c:ext>
          </c:extLst>
        </c:ser>
        <c:ser>
          <c:idx val="1"/>
          <c:order val="1"/>
          <c:tx>
            <c:strRef>
              <c:f>'so sánh altitude'!$K$1</c:f>
              <c:strCache>
                <c:ptCount val="1"/>
                <c:pt idx="0">
                  <c:v>Packet Loss Sub-6 </c:v>
                </c:pt>
              </c:strCache>
            </c:strRef>
          </c:tx>
          <c:spPr>
            <a:ln w="28575" cap="rnd">
              <a:solidFill>
                <a:schemeClr val="accent2"/>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altitude'!$K$2:$K$14</c:f>
              <c:numCache>
                <c:formatCode>General</c:formatCode>
                <c:ptCount val="13"/>
                <c:pt idx="0">
                  <c:v>8.0000000000000002E-3</c:v>
                </c:pt>
                <c:pt idx="1">
                  <c:v>8.0000000000000002E-3</c:v>
                </c:pt>
                <c:pt idx="2">
                  <c:v>8.0000000000000002E-3</c:v>
                </c:pt>
                <c:pt idx="3">
                  <c:v>8.0000000000000002E-3</c:v>
                </c:pt>
                <c:pt idx="4">
                  <c:v>42.865000000000002</c:v>
                </c:pt>
                <c:pt idx="5">
                  <c:v>8.0000000000000002E-3</c:v>
                </c:pt>
                <c:pt idx="6">
                  <c:v>6.0000000000000001E-3</c:v>
                </c:pt>
                <c:pt idx="7">
                  <c:v>6.0000000000000001E-3</c:v>
                </c:pt>
                <c:pt idx="8">
                  <c:v>6.0000000000000001E-3</c:v>
                </c:pt>
                <c:pt idx="9">
                  <c:v>6.0000000000000001E-3</c:v>
                </c:pt>
                <c:pt idx="10">
                  <c:v>6.0000000000000001E-3</c:v>
                </c:pt>
                <c:pt idx="11">
                  <c:v>8.0000000000000002E-3</c:v>
                </c:pt>
                <c:pt idx="12">
                  <c:v>3.0000000000000001E-3</c:v>
                </c:pt>
              </c:numCache>
            </c:numRef>
          </c:val>
          <c:smooth val="0"/>
          <c:extLst>
            <c:ext xmlns:c16="http://schemas.microsoft.com/office/drawing/2014/chart" uri="{C3380CC4-5D6E-409C-BE32-E72D297353CC}">
              <c16:uniqueId val="{00000001-D05E-4756-8A90-11261C954737}"/>
            </c:ext>
          </c:extLst>
        </c:ser>
        <c:dLbls>
          <c:showLegendKey val="0"/>
          <c:showVal val="0"/>
          <c:showCatName val="0"/>
          <c:showSerName val="0"/>
          <c:showPercent val="0"/>
          <c:showBubbleSize val="0"/>
        </c:dLbls>
        <c:smooth val="0"/>
        <c:axId val="1174777263"/>
        <c:axId val="1174774383"/>
      </c:lineChart>
      <c:catAx>
        <c:axId val="1174777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Altitude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74383"/>
        <c:crosses val="autoZero"/>
        <c:auto val="1"/>
        <c:lblAlgn val="ctr"/>
        <c:lblOffset val="100"/>
        <c:noMultiLvlLbl val="0"/>
      </c:catAx>
      <c:valAx>
        <c:axId val="117477438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Packet</a:t>
                </a:r>
                <a:r>
                  <a:rPr lang="en-US" baseline="0"/>
                  <a:t> loss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7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UAV altitude on Throughput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altitude'!$E$1</c:f>
              <c:strCache>
                <c:ptCount val="1"/>
                <c:pt idx="0">
                  <c:v>Throughput mmWave</c:v>
                </c:pt>
              </c:strCache>
            </c:strRef>
          </c:tx>
          <c:spPr>
            <a:ln w="28575" cap="rnd">
              <a:solidFill>
                <a:schemeClr val="accent1"/>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altitude'!$E$2:$E$14</c:f>
              <c:numCache>
                <c:formatCode>General</c:formatCode>
                <c:ptCount val="13"/>
                <c:pt idx="0">
                  <c:v>1.845</c:v>
                </c:pt>
                <c:pt idx="1">
                  <c:v>1.845</c:v>
                </c:pt>
                <c:pt idx="2">
                  <c:v>1.2569999999999999</c:v>
                </c:pt>
                <c:pt idx="3">
                  <c:v>1.6160000000000001</c:v>
                </c:pt>
                <c:pt idx="4">
                  <c:v>1.6830000000000001</c:v>
                </c:pt>
                <c:pt idx="5">
                  <c:v>1.845</c:v>
                </c:pt>
                <c:pt idx="6">
                  <c:v>1.845</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3235-4913-B8EF-D2B8BA408A41}"/>
            </c:ext>
          </c:extLst>
        </c:ser>
        <c:ser>
          <c:idx val="1"/>
          <c:order val="1"/>
          <c:tx>
            <c:strRef>
              <c:f>'so sánh altitude'!$L$1</c:f>
              <c:strCache>
                <c:ptCount val="1"/>
                <c:pt idx="0">
                  <c:v>Throughput Sub-6  </c:v>
                </c:pt>
              </c:strCache>
            </c:strRef>
          </c:tx>
          <c:spPr>
            <a:ln w="28575" cap="rnd">
              <a:solidFill>
                <a:schemeClr val="accent2"/>
              </a:solidFill>
              <a:round/>
            </a:ln>
            <a:effectLst/>
          </c:spPr>
          <c:marker>
            <c:symbol val="none"/>
          </c:marker>
          <c:cat>
            <c:numRef>
              <c:f>'so sánh altitude'!$A$2:$A$14</c:f>
              <c:numCache>
                <c:formatCode>General</c:formatCode>
                <c:ptCount val="13"/>
                <c:pt idx="0">
                  <c:v>1.5</c:v>
                </c:pt>
                <c:pt idx="1">
                  <c:v>10</c:v>
                </c:pt>
                <c:pt idx="2">
                  <c:v>20</c:v>
                </c:pt>
                <c:pt idx="3">
                  <c:v>30</c:v>
                </c:pt>
                <c:pt idx="4">
                  <c:v>40</c:v>
                </c:pt>
                <c:pt idx="5">
                  <c:v>50</c:v>
                </c:pt>
                <c:pt idx="6">
                  <c:v>80</c:v>
                </c:pt>
                <c:pt idx="7">
                  <c:v>100</c:v>
                </c:pt>
                <c:pt idx="8">
                  <c:v>120</c:v>
                </c:pt>
                <c:pt idx="9">
                  <c:v>140</c:v>
                </c:pt>
                <c:pt idx="10">
                  <c:v>160</c:v>
                </c:pt>
                <c:pt idx="11">
                  <c:v>180</c:v>
                </c:pt>
                <c:pt idx="12">
                  <c:v>200</c:v>
                </c:pt>
              </c:numCache>
            </c:numRef>
          </c:cat>
          <c:val>
            <c:numRef>
              <c:f>'so sánh altitude'!$L$2:$L$14</c:f>
              <c:numCache>
                <c:formatCode>General</c:formatCode>
                <c:ptCount val="13"/>
                <c:pt idx="0">
                  <c:v>1.845</c:v>
                </c:pt>
                <c:pt idx="1">
                  <c:v>1.845</c:v>
                </c:pt>
                <c:pt idx="2">
                  <c:v>1.845</c:v>
                </c:pt>
                <c:pt idx="3">
                  <c:v>1.845</c:v>
                </c:pt>
                <c:pt idx="4">
                  <c:v>1.7150000000000001</c:v>
                </c:pt>
                <c:pt idx="5">
                  <c:v>1.845</c:v>
                </c:pt>
                <c:pt idx="6">
                  <c:v>1.845</c:v>
                </c:pt>
                <c:pt idx="7">
                  <c:v>1.845</c:v>
                </c:pt>
                <c:pt idx="8">
                  <c:v>1.845</c:v>
                </c:pt>
                <c:pt idx="9">
                  <c:v>1.845</c:v>
                </c:pt>
                <c:pt idx="10">
                  <c:v>1.845</c:v>
                </c:pt>
                <c:pt idx="11">
                  <c:v>1.845</c:v>
                </c:pt>
                <c:pt idx="12">
                  <c:v>1.845</c:v>
                </c:pt>
              </c:numCache>
            </c:numRef>
          </c:val>
          <c:smooth val="0"/>
          <c:extLst>
            <c:ext xmlns:c16="http://schemas.microsoft.com/office/drawing/2014/chart" uri="{C3380CC4-5D6E-409C-BE32-E72D297353CC}">
              <c16:uniqueId val="{00000001-3235-4913-B8EF-D2B8BA408A41}"/>
            </c:ext>
          </c:extLst>
        </c:ser>
        <c:dLbls>
          <c:showLegendKey val="0"/>
          <c:showVal val="0"/>
          <c:showCatName val="0"/>
          <c:showSerName val="0"/>
          <c:showPercent val="0"/>
          <c:showBubbleSize val="0"/>
        </c:dLbls>
        <c:smooth val="0"/>
        <c:axId val="1258096223"/>
        <c:axId val="1258098623"/>
      </c:lineChart>
      <c:catAx>
        <c:axId val="125809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Altitude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098623"/>
        <c:crosses val="autoZero"/>
        <c:auto val="1"/>
        <c:lblAlgn val="ctr"/>
        <c:lblOffset val="100"/>
        <c:noMultiLvlLbl val="0"/>
      </c:catAx>
      <c:valAx>
        <c:axId val="125809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Throughput (Mbps)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096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Impact of Tx Power on Transmission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power'!$B$1</c:f>
              <c:strCache>
                <c:ptCount val="1"/>
                <c:pt idx="0">
                  <c:v>Avg Delay mmWave </c:v>
                </c:pt>
              </c:strCache>
            </c:strRef>
          </c:tx>
          <c:spPr>
            <a:ln w="28575" cap="rnd">
              <a:solidFill>
                <a:schemeClr val="accent1"/>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power'!$B$2:$B$5</c:f>
              <c:numCache>
                <c:formatCode>General</c:formatCode>
                <c:ptCount val="4"/>
                <c:pt idx="0">
                  <c:v>8.2360000000000007</c:v>
                </c:pt>
                <c:pt idx="1">
                  <c:v>8.9429999999999996</c:v>
                </c:pt>
                <c:pt idx="2">
                  <c:v>8.8620000000000001</c:v>
                </c:pt>
                <c:pt idx="3">
                  <c:v>8.0269999999999992</c:v>
                </c:pt>
              </c:numCache>
            </c:numRef>
          </c:val>
          <c:smooth val="0"/>
          <c:extLst>
            <c:ext xmlns:c16="http://schemas.microsoft.com/office/drawing/2014/chart" uri="{C3380CC4-5D6E-409C-BE32-E72D297353CC}">
              <c16:uniqueId val="{00000000-155C-46EF-8F64-B175385C4CFD}"/>
            </c:ext>
          </c:extLst>
        </c:ser>
        <c:ser>
          <c:idx val="1"/>
          <c:order val="1"/>
          <c:tx>
            <c:strRef>
              <c:f>'so sánh power'!$J$1</c:f>
              <c:strCache>
                <c:ptCount val="1"/>
                <c:pt idx="0">
                  <c:v>Avg Delay Sub-6 </c:v>
                </c:pt>
              </c:strCache>
            </c:strRef>
          </c:tx>
          <c:spPr>
            <a:ln w="28575" cap="rnd">
              <a:solidFill>
                <a:schemeClr val="accent2"/>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power'!$J$2:$J$5</c:f>
              <c:numCache>
                <c:formatCode>General</c:formatCode>
                <c:ptCount val="4"/>
                <c:pt idx="0">
                  <c:v>8.5981500000000004</c:v>
                </c:pt>
                <c:pt idx="1">
                  <c:v>8.5981500000000004</c:v>
                </c:pt>
                <c:pt idx="2">
                  <c:v>8.5981500000000004</c:v>
                </c:pt>
                <c:pt idx="3">
                  <c:v>8.5981500000000004</c:v>
                </c:pt>
              </c:numCache>
            </c:numRef>
          </c:val>
          <c:smooth val="0"/>
          <c:extLst>
            <c:ext xmlns:c16="http://schemas.microsoft.com/office/drawing/2014/chart" uri="{C3380CC4-5D6E-409C-BE32-E72D297353CC}">
              <c16:uniqueId val="{00000001-155C-46EF-8F64-B175385C4CFD}"/>
            </c:ext>
          </c:extLst>
        </c:ser>
        <c:dLbls>
          <c:showLegendKey val="0"/>
          <c:showVal val="0"/>
          <c:showCatName val="0"/>
          <c:showSerName val="0"/>
          <c:showPercent val="0"/>
          <c:showBubbleSize val="0"/>
        </c:dLbls>
        <c:smooth val="0"/>
        <c:axId val="1047717071"/>
        <c:axId val="1047717551"/>
      </c:lineChart>
      <c:catAx>
        <c:axId val="1047717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Power</a:t>
                </a:r>
                <a:r>
                  <a:rPr lang="en-US" baseline="0"/>
                  <a:t> (dBm)</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17551"/>
        <c:crosses val="autoZero"/>
        <c:auto val="1"/>
        <c:lblAlgn val="ctr"/>
        <c:lblOffset val="100"/>
        <c:noMultiLvlLbl val="0"/>
      </c:catAx>
      <c:valAx>
        <c:axId val="1047717551"/>
        <c:scaling>
          <c:orientation val="minMax"/>
          <c:max val="7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Delay (ms)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71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Tx Power on Jitter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power'!$C$1</c:f>
              <c:strCache>
                <c:ptCount val="1"/>
                <c:pt idx="0">
                  <c:v>Jitter mmWave</c:v>
                </c:pt>
              </c:strCache>
            </c:strRef>
          </c:tx>
          <c:spPr>
            <a:ln w="28575" cap="rnd">
              <a:solidFill>
                <a:schemeClr val="accent1"/>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power'!$C$2:$C$5</c:f>
              <c:numCache>
                <c:formatCode>General</c:formatCode>
                <c:ptCount val="4"/>
                <c:pt idx="0">
                  <c:v>0.218</c:v>
                </c:pt>
                <c:pt idx="1">
                  <c:v>0.23799999999999999</c:v>
                </c:pt>
                <c:pt idx="2">
                  <c:v>0.23699999999999999</c:v>
                </c:pt>
                <c:pt idx="3">
                  <c:v>0.22900000000000001</c:v>
                </c:pt>
              </c:numCache>
            </c:numRef>
          </c:val>
          <c:smooth val="0"/>
          <c:extLst>
            <c:ext xmlns:c16="http://schemas.microsoft.com/office/drawing/2014/chart" uri="{C3380CC4-5D6E-409C-BE32-E72D297353CC}">
              <c16:uniqueId val="{00000000-05D8-4BE5-A479-EA4FA24582F7}"/>
            </c:ext>
          </c:extLst>
        </c:ser>
        <c:ser>
          <c:idx val="1"/>
          <c:order val="1"/>
          <c:tx>
            <c:strRef>
              <c:f>'so sánh power'!$K$1</c:f>
              <c:strCache>
                <c:ptCount val="1"/>
                <c:pt idx="0">
                  <c:v>Jitter Sub-6 </c:v>
                </c:pt>
              </c:strCache>
            </c:strRef>
          </c:tx>
          <c:spPr>
            <a:ln w="28575" cap="rnd">
              <a:solidFill>
                <a:schemeClr val="accent2"/>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power'!$K$2:$K$5</c:f>
              <c:numCache>
                <c:formatCode>General</c:formatCode>
                <c:ptCount val="4"/>
                <c:pt idx="0">
                  <c:v>0.22714000000000001</c:v>
                </c:pt>
                <c:pt idx="1">
                  <c:v>0.22714000000000001</c:v>
                </c:pt>
                <c:pt idx="2">
                  <c:v>0.22714000000000001</c:v>
                </c:pt>
                <c:pt idx="3">
                  <c:v>0.22714000000000001</c:v>
                </c:pt>
              </c:numCache>
            </c:numRef>
          </c:val>
          <c:smooth val="0"/>
          <c:extLst>
            <c:ext xmlns:c16="http://schemas.microsoft.com/office/drawing/2014/chart" uri="{C3380CC4-5D6E-409C-BE32-E72D297353CC}">
              <c16:uniqueId val="{00000001-05D8-4BE5-A479-EA4FA24582F7}"/>
            </c:ext>
          </c:extLst>
        </c:ser>
        <c:dLbls>
          <c:showLegendKey val="0"/>
          <c:showVal val="0"/>
          <c:showCatName val="0"/>
          <c:showSerName val="0"/>
          <c:showPercent val="0"/>
          <c:showBubbleSize val="0"/>
        </c:dLbls>
        <c:smooth val="0"/>
        <c:axId val="1447075119"/>
        <c:axId val="1447076079"/>
      </c:lineChart>
      <c:catAx>
        <c:axId val="144707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Power (dBm)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76079"/>
        <c:crosses val="autoZero"/>
        <c:auto val="1"/>
        <c:lblAlgn val="ctr"/>
        <c:lblOffset val="100"/>
        <c:noMultiLvlLbl val="0"/>
      </c:catAx>
      <c:valAx>
        <c:axId val="1447076079"/>
        <c:scaling>
          <c:orientation val="minMax"/>
          <c:max val="0.30000000000000004"/>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Jitter (ms)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07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Tx Power on Packet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power'!$D$1</c:f>
              <c:strCache>
                <c:ptCount val="1"/>
                <c:pt idx="0">
                  <c:v>Packet Loss mmWave </c:v>
                </c:pt>
              </c:strCache>
            </c:strRef>
          </c:tx>
          <c:spPr>
            <a:ln w="28575" cap="rnd">
              <a:solidFill>
                <a:schemeClr val="accent1"/>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power'!$D$2:$D$5</c:f>
              <c:numCache>
                <c:formatCode>General</c:formatCode>
                <c:ptCount val="4"/>
                <c:pt idx="0">
                  <c:v>11.422000000000001</c:v>
                </c:pt>
                <c:pt idx="1">
                  <c:v>9.9090000000000007</c:v>
                </c:pt>
                <c:pt idx="2">
                  <c:v>8.61</c:v>
                </c:pt>
                <c:pt idx="3">
                  <c:v>10.308999999999999</c:v>
                </c:pt>
              </c:numCache>
            </c:numRef>
          </c:val>
          <c:smooth val="0"/>
          <c:extLst>
            <c:ext xmlns:c16="http://schemas.microsoft.com/office/drawing/2014/chart" uri="{C3380CC4-5D6E-409C-BE32-E72D297353CC}">
              <c16:uniqueId val="{00000000-1207-42EC-87A3-4F50235162A9}"/>
            </c:ext>
          </c:extLst>
        </c:ser>
        <c:ser>
          <c:idx val="1"/>
          <c:order val="1"/>
          <c:tx>
            <c:strRef>
              <c:f>'so sánh power'!$L$1</c:f>
              <c:strCache>
                <c:ptCount val="1"/>
                <c:pt idx="0">
                  <c:v>Packet Loss Sub-6 </c:v>
                </c:pt>
              </c:strCache>
            </c:strRef>
          </c:tx>
          <c:spPr>
            <a:ln w="28575" cap="rnd">
              <a:solidFill>
                <a:schemeClr val="accent2"/>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power'!$L$2:$L$5</c:f>
              <c:numCache>
                <c:formatCode>General</c:formatCode>
                <c:ptCount val="4"/>
                <c:pt idx="0">
                  <c:v>13.860300000000001</c:v>
                </c:pt>
                <c:pt idx="1">
                  <c:v>13.860300000000001</c:v>
                </c:pt>
                <c:pt idx="2">
                  <c:v>13.860300000000001</c:v>
                </c:pt>
                <c:pt idx="3">
                  <c:v>13.860300000000001</c:v>
                </c:pt>
              </c:numCache>
            </c:numRef>
          </c:val>
          <c:smooth val="0"/>
          <c:extLst>
            <c:ext xmlns:c16="http://schemas.microsoft.com/office/drawing/2014/chart" uri="{C3380CC4-5D6E-409C-BE32-E72D297353CC}">
              <c16:uniqueId val="{00000001-1207-42EC-87A3-4F50235162A9}"/>
            </c:ext>
          </c:extLst>
        </c:ser>
        <c:dLbls>
          <c:showLegendKey val="0"/>
          <c:showVal val="0"/>
          <c:showCatName val="0"/>
          <c:showSerName val="0"/>
          <c:showPercent val="0"/>
          <c:showBubbleSize val="0"/>
        </c:dLbls>
        <c:smooth val="0"/>
        <c:axId val="1174777263"/>
        <c:axId val="1174774383"/>
      </c:lineChart>
      <c:catAx>
        <c:axId val="1174777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Power (dBm)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74383"/>
        <c:crosses val="autoZero"/>
        <c:auto val="1"/>
        <c:lblAlgn val="ctr"/>
        <c:lblOffset val="100"/>
        <c:noMultiLvlLbl val="0"/>
      </c:catAx>
      <c:valAx>
        <c:axId val="1174774383"/>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Packet</a:t>
                </a:r>
                <a:r>
                  <a:rPr lang="en-US" baseline="0"/>
                  <a:t> loss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77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 of Tx Power on Throughput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 sánh power'!$E$1</c:f>
              <c:strCache>
                <c:ptCount val="1"/>
                <c:pt idx="0">
                  <c:v>Throughput mmWave</c:v>
                </c:pt>
              </c:strCache>
            </c:strRef>
          </c:tx>
          <c:spPr>
            <a:ln w="28575" cap="rnd">
              <a:solidFill>
                <a:schemeClr val="accent1"/>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power'!$E$2:$E$5</c:f>
              <c:numCache>
                <c:formatCode>General</c:formatCode>
                <c:ptCount val="4"/>
                <c:pt idx="0">
                  <c:v>8.9909999999999997</c:v>
                </c:pt>
                <c:pt idx="1">
                  <c:v>6.9130000000000003</c:v>
                </c:pt>
                <c:pt idx="2">
                  <c:v>7.968</c:v>
                </c:pt>
                <c:pt idx="3">
                  <c:v>8.3190000000000008</c:v>
                </c:pt>
              </c:numCache>
            </c:numRef>
          </c:val>
          <c:smooth val="0"/>
          <c:extLst>
            <c:ext xmlns:c16="http://schemas.microsoft.com/office/drawing/2014/chart" uri="{C3380CC4-5D6E-409C-BE32-E72D297353CC}">
              <c16:uniqueId val="{00000000-0B16-4994-A95C-27886DAC6297}"/>
            </c:ext>
          </c:extLst>
        </c:ser>
        <c:ser>
          <c:idx val="1"/>
          <c:order val="1"/>
          <c:tx>
            <c:strRef>
              <c:f>'so sánh power'!$M$1</c:f>
              <c:strCache>
                <c:ptCount val="1"/>
                <c:pt idx="0">
                  <c:v>Throughput Sub-6  </c:v>
                </c:pt>
              </c:strCache>
            </c:strRef>
          </c:tx>
          <c:spPr>
            <a:ln w="28575" cap="rnd">
              <a:solidFill>
                <a:schemeClr val="accent2"/>
              </a:solidFill>
              <a:round/>
            </a:ln>
            <a:effectLst/>
          </c:spPr>
          <c:marker>
            <c:symbol val="none"/>
          </c:marker>
          <c:cat>
            <c:numRef>
              <c:f>'so sánh power'!$A$2:$A$5</c:f>
              <c:numCache>
                <c:formatCode>General</c:formatCode>
                <c:ptCount val="4"/>
                <c:pt idx="0">
                  <c:v>20</c:v>
                </c:pt>
                <c:pt idx="1">
                  <c:v>22</c:v>
                </c:pt>
                <c:pt idx="2">
                  <c:v>24</c:v>
                </c:pt>
                <c:pt idx="3">
                  <c:v>26</c:v>
                </c:pt>
              </c:numCache>
            </c:numRef>
          </c:cat>
          <c:val>
            <c:numRef>
              <c:f>'so sánh power'!$M$2:$M$5</c:f>
              <c:numCache>
                <c:formatCode>General</c:formatCode>
                <c:ptCount val="4"/>
                <c:pt idx="0">
                  <c:v>8.74315</c:v>
                </c:pt>
                <c:pt idx="1">
                  <c:v>8.74315</c:v>
                </c:pt>
                <c:pt idx="2">
                  <c:v>8.74315</c:v>
                </c:pt>
                <c:pt idx="3">
                  <c:v>8.74315</c:v>
                </c:pt>
              </c:numCache>
            </c:numRef>
          </c:val>
          <c:smooth val="0"/>
          <c:extLst>
            <c:ext xmlns:c16="http://schemas.microsoft.com/office/drawing/2014/chart" uri="{C3380CC4-5D6E-409C-BE32-E72D297353CC}">
              <c16:uniqueId val="{00000001-0B16-4994-A95C-27886DAC6297}"/>
            </c:ext>
          </c:extLst>
        </c:ser>
        <c:dLbls>
          <c:showLegendKey val="0"/>
          <c:showVal val="0"/>
          <c:showCatName val="0"/>
          <c:showSerName val="0"/>
          <c:showPercent val="0"/>
          <c:showBubbleSize val="0"/>
        </c:dLbls>
        <c:smooth val="0"/>
        <c:axId val="1258096223"/>
        <c:axId val="1258098623"/>
      </c:lineChart>
      <c:catAx>
        <c:axId val="125809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Power (dBm)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098623"/>
        <c:crosses val="autoZero"/>
        <c:auto val="1"/>
        <c:lblAlgn val="ctr"/>
        <c:lblOffset val="100"/>
        <c:noMultiLvlLbl val="0"/>
      </c:catAx>
      <c:valAx>
        <c:axId val="1258098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Throughput (Mbps)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096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16</xdr:col>
      <xdr:colOff>501650</xdr:colOff>
      <xdr:row>0</xdr:row>
      <xdr:rowOff>171450</xdr:rowOff>
    </xdr:from>
    <xdr:to>
      <xdr:col>25</xdr:col>
      <xdr:colOff>6350</xdr:colOff>
      <xdr:row>8</xdr:row>
      <xdr:rowOff>127000</xdr:rowOff>
    </xdr:to>
    <xdr:sp macro="" textlink="">
      <xdr:nvSpPr>
        <xdr:cNvPr id="2" name="TextBox 1">
          <a:extLst>
            <a:ext uri="{FF2B5EF4-FFF2-40B4-BE49-F238E27FC236}">
              <a16:creationId xmlns:a16="http://schemas.microsoft.com/office/drawing/2014/main" id="{03F92E11-D653-4E24-B55C-F8B40DB2A513}"/>
            </a:ext>
          </a:extLst>
        </xdr:cNvPr>
        <xdr:cNvSpPr txBox="1"/>
      </xdr:nvSpPr>
      <xdr:spPr>
        <a:xfrm>
          <a:off x="10255250" y="171450"/>
          <a:ext cx="4991100"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vi-VN">
              <a:effectLst/>
            </a:rPr>
            <a:t>Sub-6 GHz (3.5 GHz) vẫn hỗ trợ slicing (code TFT/EPS bearer của bạn không thay đổi), nhưng tập trung vào reliability và coverage rộng hơn thay vì extreme speed. Điều này thực tế hơn cho </a:t>
          </a:r>
          <a:r>
            <a:rPr lang="vi-VN">
              <a:solidFill>
                <a:srgbClr val="FF0000"/>
              </a:solidFill>
              <a:effectLst/>
            </a:rPr>
            <a:t>emergency UAV: drone cứu hộ thường bay ở khu vực rộng, có obstacles (rừng, đô thị), mobility cao → sub-6 chịu Doppler/pathloss tốt hơn, giảm rủi ro mất kết nối đột ngột. </a:t>
          </a:r>
          <a:r>
            <a:rPr lang="vi-VN">
              <a:effectLst/>
            </a:rPr>
            <a:t>Numerology=1 (SCS=30 kHz) phù hợp FR1 (slot duration 0.5 ms), giúp latency thấp mà không overhead cao như numerology 3-4.</a:t>
          </a:r>
        </a:p>
        <a:p>
          <a:endParaRPr lang="en-US" sz="1100"/>
        </a:p>
      </xdr:txBody>
    </xdr:sp>
    <xdr:clientData/>
  </xdr:twoCellAnchor>
  <xdr:twoCellAnchor>
    <xdr:from>
      <xdr:col>16</xdr:col>
      <xdr:colOff>488950</xdr:colOff>
      <xdr:row>9</xdr:row>
      <xdr:rowOff>19050</xdr:rowOff>
    </xdr:from>
    <xdr:to>
      <xdr:col>24</xdr:col>
      <xdr:colOff>603250</xdr:colOff>
      <xdr:row>15</xdr:row>
      <xdr:rowOff>19050</xdr:rowOff>
    </xdr:to>
    <xdr:sp macro="" textlink="">
      <xdr:nvSpPr>
        <xdr:cNvPr id="3" name="TextBox 2">
          <a:extLst>
            <a:ext uri="{FF2B5EF4-FFF2-40B4-BE49-F238E27FC236}">
              <a16:creationId xmlns:a16="http://schemas.microsoft.com/office/drawing/2014/main" id="{36E46E03-1637-FC6B-F766-77D1085E7452}"/>
            </a:ext>
          </a:extLst>
        </xdr:cNvPr>
        <xdr:cNvSpPr txBox="1"/>
      </xdr:nvSpPr>
      <xdr:spPr>
        <a:xfrm>
          <a:off x="10242550" y="1676400"/>
          <a:ext cx="499110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effectLst/>
            </a:rPr>
            <a:t>Trade-off: Bạn mất "mmWave flavor" (high bandwidth → throughput potential cao hơn), nhưng gain reliability → phù hợp đề tài nếu nhấn mạnh "private network for emergency" (reliability &gt; throughput). Nếu đề tài yêu cầu mmWave cụ thể (ví dụ để demo 5G advanced features như beamforming dense), thì nên quay lại 28 GHz và chấp nhận loss cao ở mobility cao làm "limitation".</a:t>
          </a:r>
        </a:p>
        <a:p>
          <a:endParaRPr lang="en-US" sz="1100"/>
        </a:p>
      </xdr:txBody>
    </xdr:sp>
    <xdr:clientData/>
  </xdr:twoCellAnchor>
  <xdr:twoCellAnchor>
    <xdr:from>
      <xdr:col>16</xdr:col>
      <xdr:colOff>520700</xdr:colOff>
      <xdr:row>15</xdr:row>
      <xdr:rowOff>101600</xdr:rowOff>
    </xdr:from>
    <xdr:to>
      <xdr:col>27</xdr:col>
      <xdr:colOff>63500</xdr:colOff>
      <xdr:row>42</xdr:row>
      <xdr:rowOff>63500</xdr:rowOff>
    </xdr:to>
    <xdr:sp macro="" textlink="">
      <xdr:nvSpPr>
        <xdr:cNvPr id="4" name="TextBox 3">
          <a:extLst>
            <a:ext uri="{FF2B5EF4-FFF2-40B4-BE49-F238E27FC236}">
              <a16:creationId xmlns:a16="http://schemas.microsoft.com/office/drawing/2014/main" id="{01CA8EB9-7EFE-8F45-EED1-0217C0DA12AB}"/>
            </a:ext>
          </a:extLst>
        </xdr:cNvPr>
        <xdr:cNvSpPr txBox="1"/>
      </xdr:nvSpPr>
      <xdr:spPr>
        <a:xfrm>
          <a:off x="10274300" y="2863850"/>
          <a:ext cx="6248400" cy="493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Nhận xét về kết quả mới (3.5 GHz, numerology=1)</a:t>
          </a:r>
        </a:p>
        <a:p>
          <a:r>
            <a:rPr lang="vi-VN">
              <a:effectLst/>
            </a:rPr>
            <a:t>Bộ dữ liệu này cho thấy </a:t>
          </a:r>
          <a:r>
            <a:rPr lang="vi-VN" b="1">
              <a:effectLst/>
            </a:rPr>
            <a:t>cải thiện rõ rệt so với mmWave 28 GHz</a:t>
          </a:r>
          <a:r>
            <a:rPr lang="vi-VN">
              <a:effectLst/>
            </a:rPr>
            <a:t> (run trước với numerology 3 hoặc thấp hơn): Không còn failure hoàn toàn (loss 99.99%), trend mượt mà hơn, và loss tổng thể thấp hơn ở tốc độ cao. Đây là kết quả tốt nhất trong các run của bạn, chứng tỏ sub-6 GHz mitigate tốt các vấn đề Doppler/mobility.</a:t>
          </a:r>
        </a:p>
        <a:p>
          <a:r>
            <a:rPr lang="vi-VN" b="1"/>
            <a:t>Đặc điểm chung</a:t>
          </a:r>
          <a:r>
            <a:rPr lang="vi-VN"/>
            <a:t>:</a:t>
          </a:r>
        </a:p>
        <a:p>
          <a:pPr lvl="1"/>
          <a:r>
            <a:rPr lang="vi-VN" b="1"/>
            <a:t>Packet Loss</a:t>
          </a:r>
          <a:r>
            <a:rPr lang="vi-VN"/>
            <a:t>: Thấp nhất ở tốc độ thấp (13-14% tại 0-2.5 m/s), tăng dần nhưng không đột ngột: 14-16% ở 20-50 m/s (tốt), chỉ cao nhất 92% tại 22.5 m/s. Không còn artifact failure rời rạc nhiều → channel ổn định hơn nhờ frequency thấp (pathloss nhỏ, ít sensitive với mobility).</a:t>
          </a:r>
        </a:p>
        <a:p>
          <a:pPr lvl="1"/>
          <a:r>
            <a:rPr lang="vi-VN" b="1"/>
            <a:t>Avg Delay</a:t>
          </a:r>
          <a:r>
            <a:rPr lang="vi-VN"/>
            <a:t>: Ổn định ~18-23 ms ở hầu hết tốc độ (thấp và consistent), chỉ cao bất thường ở vài điểm (47-65 ms tại 10, 17.5, 42.5 m/s) → có thể do HARQ retransmission khi loss tăng.</a:t>
          </a:r>
        </a:p>
        <a:p>
          <a:pPr lvl="1"/>
          <a:r>
            <a:rPr lang="vi-VN" b="1"/>
            <a:t>Jitter</a:t>
          </a:r>
          <a:r>
            <a:rPr lang="vi-VN"/>
            <a:t>: Rất thấp ~0.23 ms (cải thiện, ổn định), phù hợp URLLC.</a:t>
          </a:r>
        </a:p>
        <a:p>
          <a:pPr lvl="1"/>
          <a:r>
            <a:rPr lang="vi-VN" b="1"/>
            <a:t>Throughput</a:t>
          </a:r>
          <a:r>
            <a:rPr lang="vi-VN"/>
            <a:t>: ~6.9-8.7 Mbps, giảm nhẹ theo loss cao (vì ít gói thành công hơn), nhưng vẫn cao hơn lý thuyết traffic URLLC (~1.6 Mbps UL) → có lẽ tính bidirectional hoặc overhead giảm.</a:t>
          </a:r>
        </a:p>
        <a:p>
          <a:r>
            <a:rPr lang="vi-VN" b="1"/>
            <a:t>Trend theo tốc độ (Doppler impact)</a:t>
          </a:r>
          <a:r>
            <a:rPr lang="vi-VN"/>
            <a:t>:</a:t>
          </a:r>
        </a:p>
        <a:p>
          <a:pPr lvl="1"/>
          <a:r>
            <a:rPr lang="vi-VN" b="1"/>
            <a:t>Thấp (0-15 m/s)</a:t>
          </a:r>
          <a:r>
            <a:rPr lang="vi-VN"/>
            <a:t>: Loss ~13-15%, delay ~18-47 ms, throughput cao ~8.5-8.7 Mbps. Ổn định tốt, Doppler nhỏ (~0.3 kHz tại 15 m/s ở 3.5 GHz → không ảnh hưởng nhiều).</a:t>
          </a:r>
        </a:p>
        <a:p>
          <a:pPr lvl="1"/>
          <a:r>
            <a:rPr lang="vi-VN" b="1"/>
            <a:t>Trung bình (17.5-30 m/s)</a:t>
          </a:r>
          <a:r>
            <a:rPr lang="vi-VN"/>
            <a:t>: Loss ~14-16%, delay ~19-35 ms, throughput ~8.5-8.7 Mbps. Vẫn tốt, nhưng bắt đầu tăng loss nhẹ (Doppler ~1 kHz tại 30 m/s).</a:t>
          </a:r>
        </a:p>
        <a:p>
          <a:pPr lvl="1"/>
          <a:r>
            <a:rPr lang="vi-VN" b="1"/>
            <a:t>Cao (32.5-50 m/s)</a:t>
          </a:r>
          <a:r>
            <a:rPr lang="vi-VN"/>
            <a:t>: Loss 14-80% (cao nhất 92% tại 22.5 m/s, nhưng hầu hết ~15-16%), delay ~20-47 ms, throughput ~6.9-8.5 Mbps. Chịu tốt hơn mmWave (trước loss 80-90% ở 50 m/s), nhưng vẫn suy giảm → giới hạn của module NR cũ với mobility.</a:t>
          </a:r>
        </a:p>
        <a:p>
          <a:pPr lvl="1"/>
          <a:r>
            <a:rPr lang="vi-VN"/>
            <a:t>Không còn "failure hoàn toàn" như mmWave → sub-6 GHz làm channel robust hơn.</a:t>
          </a:r>
        </a:p>
        <a:p>
          <a:endParaRPr lang="en-US" sz="1100"/>
        </a:p>
      </xdr:txBody>
    </xdr:sp>
    <xdr:clientData/>
  </xdr:twoCellAnchor>
  <xdr:twoCellAnchor>
    <xdr:from>
      <xdr:col>0</xdr:col>
      <xdr:colOff>171450</xdr:colOff>
      <xdr:row>22</xdr:row>
      <xdr:rowOff>165100</xdr:rowOff>
    </xdr:from>
    <xdr:to>
      <xdr:col>7</xdr:col>
      <xdr:colOff>539750</xdr:colOff>
      <xdr:row>43</xdr:row>
      <xdr:rowOff>25400</xdr:rowOff>
    </xdr:to>
    <xdr:sp macro="" textlink="">
      <xdr:nvSpPr>
        <xdr:cNvPr id="5" name="TextBox 4">
          <a:extLst>
            <a:ext uri="{FF2B5EF4-FFF2-40B4-BE49-F238E27FC236}">
              <a16:creationId xmlns:a16="http://schemas.microsoft.com/office/drawing/2014/main" id="{672D432D-7C6C-1F3D-F84E-07038770F191}"/>
            </a:ext>
          </a:extLst>
        </xdr:cNvPr>
        <xdr:cNvSpPr txBox="1"/>
      </xdr:nvSpPr>
      <xdr:spPr>
        <a:xfrm>
          <a:off x="171450" y="4216400"/>
          <a:ext cx="4635500" cy="372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Sub-6 GHz (3.5 GHz) cải thiện reliability cho UAV mobility</a:t>
          </a:r>
          <a:r>
            <a:rPr lang="vi-VN"/>
            <a:t>: Với frequency thấp hơn, hệ thống chịu tốt Doppler shift và pathloss, dẫn đến loss thấp hơn (13-16% ở tốc độ thực tế 10-30 m/s) so với mmWave. Rút ra: Trong emergency UAV, ưu tiên sub-6 cho private network để đảm bảo kết nối liên tục, ngay cả khi drone bay nhanh (lên 50 m/s). </a:t>
          </a:r>
          <a:r>
            <a:rPr lang="vi-VN" b="1"/>
            <a:t>Loss vẫn tăng theo tốc độ, nhưng không critical</a:t>
          </a:r>
          <a:r>
            <a:rPr lang="vi-VN"/>
            <a:t>: Trend rõ: Loss ~13% ở thấp → 15-16% ở cao (trừ vài outlier). Rút ra: 5G NR (với numerology 1) chịu mobility lên ~30-40 m/s mà không mất kết nối hoàn toàn → phù hợp drone cứu hộ (tốc độ điển hình 10-30 m/s), nhưng cần QoS slicing để ưu tiên URLLC (low loss cho C2) và chấp nhận loss cao hơn cho eMBB video. </a:t>
          </a:r>
          <a:r>
            <a:rPr lang="vi-VN" b="1"/>
            <a:t>Delay và jitter ổn định, phù hợp URLLC</a:t>
          </a:r>
          <a:r>
            <a:rPr lang="vi-VN"/>
            <a:t>: Delay ~20 ms, jitter &lt;0.25 ms ở hầu hết → đạt yêu cầu 5G emergency (delay &lt;50 ms). Rút ra: Numerology 1 cân bằng tốt giữa latency và overhead ở sub-6, giúp C2 control realtime mà không cần numerology cao (tiết kiệm resource). </a:t>
          </a:r>
          <a:r>
            <a:rPr lang="vi-VN" b="1"/>
            <a:t>Throughput đủ cho application</a:t>
          </a:r>
          <a:r>
            <a:rPr lang="vi-VN"/>
            <a:t>: ~8 Mbps với gói nhỏ URLLC → đủ cho video HD/telemetry, nhưng không extreme như mmWave. Rút ra: Trade-off: Sub-6 ưu tiên coverage/reliability hơn capacity → lý tưởng cho private network ở khu vực rộng/disaster. </a:t>
          </a:r>
          <a:r>
            <a:rPr lang="vi-VN" b="1"/>
            <a:t>Hạn chế của module NR v2.4</a:t>
          </a:r>
          <a:r>
            <a:rPr lang="vi-VN"/>
            <a:t>: Vẫn có outlier (loss 92% tại 22.5 m/s) → có thể artifact từ beamforming/mobility model cũ. Rút ra: Simulation ns-3.38 cho kết quả pessimistic; thực tế 5G sub-6 có thể tốt hơn (loss &lt;10%) với hardware compensation.</a:t>
          </a:r>
          <a:endParaRPr lang="en-US" sz="1100"/>
        </a:p>
      </xdr:txBody>
    </xdr:sp>
    <xdr:clientData/>
  </xdr:twoCellAnchor>
  <xdr:twoCellAnchor>
    <xdr:from>
      <xdr:col>8</xdr:col>
      <xdr:colOff>393700</xdr:colOff>
      <xdr:row>22</xdr:row>
      <xdr:rowOff>165100</xdr:rowOff>
    </xdr:from>
    <xdr:to>
      <xdr:col>16</xdr:col>
      <xdr:colOff>152400</xdr:colOff>
      <xdr:row>43</xdr:row>
      <xdr:rowOff>25400</xdr:rowOff>
    </xdr:to>
    <xdr:sp macro="" textlink="">
      <xdr:nvSpPr>
        <xdr:cNvPr id="6" name="TextBox 5">
          <a:extLst>
            <a:ext uri="{FF2B5EF4-FFF2-40B4-BE49-F238E27FC236}">
              <a16:creationId xmlns:a16="http://schemas.microsoft.com/office/drawing/2014/main" id="{794F1286-E9B3-A3FB-421C-363C9B56EFFA}"/>
            </a:ext>
          </a:extLst>
        </xdr:cNvPr>
        <xdr:cNvSpPr txBox="1"/>
      </xdr:nvSpPr>
      <xdr:spPr>
        <a:xfrm>
          <a:off x="5270500" y="4216400"/>
          <a:ext cx="4635500" cy="372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New findings từ dữ liệu này</a:t>
          </a:r>
        </a:p>
        <a:p>
          <a:r>
            <a:rPr lang="vi-VN" b="1"/>
            <a:t>Không còn failure đột ngột</a:t>
          </a:r>
          <a:r>
            <a:rPr lang="vi-VN"/>
            <a:t>: Khác với mmWave, sub-6 cho kết nối liên tục ở tất cả tốc độ (loss max 92%, nhưng vẫn có throughput ~6.9 Mbps) → new insight: Sub-6 loại bỏ "blackout points" ở mobility cao, làm slicing hiệu quả hơn (URLLC không bị interrupt).</a:t>
          </a:r>
        </a:p>
        <a:p>
          <a:r>
            <a:rPr lang="vi-VN" b="1"/>
            <a:t>Loss ổn định ở tốc độ cao</a:t>
          </a:r>
          <a:r>
            <a:rPr lang="vi-VN"/>
            <a:t>: Từ 30-50 m/s, loss chỉ ~14-16% (không tăng mạnh) → finding: Doppler ở 3.5 GHz không critical như mmWave, cho phép drone bay nhanh mà vẫn giữ ~85% dữ liệu → mới so với run trước (loss tăng vọt).</a:t>
          </a:r>
        </a:p>
        <a:p>
          <a:r>
            <a:rPr lang="vi-VN" b="1"/>
            <a:t>Outlier tại tốc độ trung bình</a:t>
          </a:r>
          <a:r>
            <a:rPr lang="vi-VN"/>
            <a:t>: Loss cao bất thường tại 5, 10, 17.5, 22.5, 42.5 m/s (72-92%) → có thể do resonance với update period (channel/mobility) trong module cũ → finding: Cần fixed seed hoặc nhiều run để average, tránh artifact.</a:t>
          </a:r>
        </a:p>
        <a:p>
          <a:r>
            <a:rPr lang="vi-VN" b="1"/>
            <a:t>Throughput không giảm mạnh</a:t>
          </a:r>
          <a:r>
            <a:rPr lang="vi-VN"/>
            <a:t>: Dù loss tăng, throughput giữ ~8 Mbps → finding: HARQ retransmission hiệu quả ở sub-6, giúp recover gói mất mà không ảnh hưởng lớn.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234950</xdr:colOff>
      <xdr:row>18</xdr:row>
      <xdr:rowOff>44450</xdr:rowOff>
    </xdr:from>
    <xdr:to>
      <xdr:col>7</xdr:col>
      <xdr:colOff>349250</xdr:colOff>
      <xdr:row>29</xdr:row>
      <xdr:rowOff>69850</xdr:rowOff>
    </xdr:to>
    <xdr:sp macro="" textlink="">
      <xdr:nvSpPr>
        <xdr:cNvPr id="2" name="TextBox 1">
          <a:extLst>
            <a:ext uri="{FF2B5EF4-FFF2-40B4-BE49-F238E27FC236}">
              <a16:creationId xmlns:a16="http://schemas.microsoft.com/office/drawing/2014/main" id="{5A271353-4E36-3657-303C-421595CC7C14}"/>
            </a:ext>
          </a:extLst>
        </xdr:cNvPr>
        <xdr:cNvSpPr txBox="1"/>
      </xdr:nvSpPr>
      <xdr:spPr>
        <a:xfrm>
          <a:off x="234950" y="3359150"/>
          <a:ext cx="4381500" cy="205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Sub-6 GHz tốt hơn ở altitude cao</a:t>
          </a:r>
          <a:r>
            <a:rPr lang="vi-VN"/>
            <a:t>: mmWave outage mạnh &gt;100 m (loss ~100%), sub-6 vẫn reliable ~200 m.</a:t>
          </a:r>
        </a:p>
        <a:p>
          <a:r>
            <a:rPr lang="vi-VN" b="1"/>
            <a:t>mmWave tốt hơn latency</a:t>
          </a:r>
          <a:r>
            <a:rPr lang="vi-VN"/>
            <a:t>: ~0.7–1.8 ms vs sub-6 ~1–1.4 ms (nhưng sub-6 ổn định hơn, ít spike).</a:t>
          </a:r>
        </a:p>
        <a:p>
          <a:r>
            <a:rPr lang="vi-VN" b="1"/>
            <a:t>Sub-6 ít outage rời rạc hơn</a:t>
          </a:r>
          <a:r>
            <a:rPr lang="vi-VN"/>
            <a:t>: Nhưng vẫn có artifact failure ngẫu nhiên.</a:t>
          </a:r>
        </a:p>
        <a:p>
          <a:r>
            <a:rPr lang="vi-VN" b="1">
              <a:effectLst/>
            </a:rPr>
            <a:t>New finding</a:t>
          </a:r>
          <a:r>
            <a:rPr lang="vi-VN">
              <a:effectLst/>
            </a:rPr>
            <a:t>:</a:t>
          </a:r>
        </a:p>
        <a:p>
          <a:r>
            <a:rPr lang="vi-VN"/>
            <a:t>Sub-6 GHz (3.5 GHz UMa) gần như không nhạy cảm với altitude trong range 1.5–200 m → lý tưởng làm "anchor band" cho reliability, kết hợp mmWave cho high throughput video khi bay thấp.</a:t>
          </a:r>
        </a:p>
        <a:p>
          <a:endParaRPr lang="en-US" sz="1100"/>
        </a:p>
      </xdr:txBody>
    </xdr:sp>
    <xdr:clientData/>
  </xdr:twoCellAnchor>
  <xdr:twoCellAnchor>
    <xdr:from>
      <xdr:col>0</xdr:col>
      <xdr:colOff>234950</xdr:colOff>
      <xdr:row>30</xdr:row>
      <xdr:rowOff>120650</xdr:rowOff>
    </xdr:from>
    <xdr:to>
      <xdr:col>7</xdr:col>
      <xdr:colOff>349250</xdr:colOff>
      <xdr:row>36</xdr:row>
      <xdr:rowOff>107950</xdr:rowOff>
    </xdr:to>
    <xdr:sp macro="" textlink="">
      <xdr:nvSpPr>
        <xdr:cNvPr id="3" name="TextBox 2">
          <a:extLst>
            <a:ext uri="{FF2B5EF4-FFF2-40B4-BE49-F238E27FC236}">
              <a16:creationId xmlns:a16="http://schemas.microsoft.com/office/drawing/2014/main" id="{F5BDDFC1-2233-926A-0B10-922B4C739DF4}"/>
            </a:ext>
          </a:extLst>
        </xdr:cNvPr>
        <xdr:cNvSpPr txBox="1"/>
      </xdr:nvSpPr>
      <xdr:spPr>
        <a:xfrm>
          <a:off x="234950" y="5645150"/>
          <a:ext cx="4381500"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Kết quả tích cực</a:t>
          </a:r>
          <a:r>
            <a:rPr lang="en-US"/>
            <a:t>: Chứng minh sub-6 GHz đạt ultra-reliability và low latency ổn định ở toàn bộ độ cao drone thực tế (20–150 m), phù hợp private network emergency (drone bay cao mà không mất kết nối). </a:t>
          </a:r>
          <a:r>
            <a:rPr lang="en-US" b="1"/>
            <a:t>Artifact làm giảm tính thuyết phục</a:t>
          </a:r>
          <a:r>
            <a:rPr lang="en-US"/>
            <a:t>: Giải thích là limitation ns-3 NR v2.4 (random connection failure ở một số iteration).</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29</xdr:row>
      <xdr:rowOff>133350</xdr:rowOff>
    </xdr:from>
    <xdr:to>
      <xdr:col>7</xdr:col>
      <xdr:colOff>50800</xdr:colOff>
      <xdr:row>38</xdr:row>
      <xdr:rowOff>6350</xdr:rowOff>
    </xdr:to>
    <xdr:sp macro="" textlink="">
      <xdr:nvSpPr>
        <xdr:cNvPr id="2" name="TextBox 1">
          <a:extLst>
            <a:ext uri="{FF2B5EF4-FFF2-40B4-BE49-F238E27FC236}">
              <a16:creationId xmlns:a16="http://schemas.microsoft.com/office/drawing/2014/main" id="{33DD570A-4296-BD0A-AEB8-CAFF4DE4FD81}"/>
            </a:ext>
          </a:extLst>
        </xdr:cNvPr>
        <xdr:cNvSpPr txBox="1"/>
      </xdr:nvSpPr>
      <xdr:spPr>
        <a:xfrm>
          <a:off x="120650" y="5473700"/>
          <a:ext cx="4197350" cy="153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1.5–10 m</a:t>
          </a:r>
          <a:r>
            <a:rPr lang="en-US"/>
            <a:t>: Perfect (loss ~0%, delay &lt;1 ms) → LOS mạnh, khoảng cách 3D ngắn. </a:t>
          </a:r>
          <a:r>
            <a:rPr lang="en-US" b="1"/>
            <a:t>20–40 m</a:t>
          </a:r>
          <a:r>
            <a:rPr lang="en-US"/>
            <a:t>: Outage đột ngột (loss 49–82%, delay tăng 3–16 ms, throughput giảm ~30%) → beam misalignment tạm thời hoặc channel fluctuation. </a:t>
          </a:r>
          <a:r>
            <a:rPr lang="en-US" b="1"/>
            <a:t>50–80 m</a:t>
          </a:r>
          <a:r>
            <a:rPr lang="en-US"/>
            <a:t>: Trở lại perfect → beam tracking recover tốt. </a:t>
          </a:r>
          <a:r>
            <a:rPr lang="en-US" b="1"/>
            <a:t>100–200 m</a:t>
          </a:r>
          <a:r>
            <a:rPr lang="en-US"/>
            <a:t>: Failure gần hoàn toàn (loss ~100%) → pathloss free-space quá lớn (khoảng cách 3D ~100–206 m, mmWave attenuation cao).</a:t>
          </a:r>
          <a:endParaRPr lang="en-US" sz="1100"/>
        </a:p>
      </xdr:txBody>
    </xdr:sp>
    <xdr:clientData/>
  </xdr:twoCellAnchor>
  <xdr:twoCellAnchor>
    <xdr:from>
      <xdr:col>7</xdr:col>
      <xdr:colOff>476250</xdr:colOff>
      <xdr:row>29</xdr:row>
      <xdr:rowOff>165100</xdr:rowOff>
    </xdr:from>
    <xdr:to>
      <xdr:col>14</xdr:col>
      <xdr:colOff>406400</xdr:colOff>
      <xdr:row>40</xdr:row>
      <xdr:rowOff>76200</xdr:rowOff>
    </xdr:to>
    <xdr:sp macro="" textlink="">
      <xdr:nvSpPr>
        <xdr:cNvPr id="3" name="TextBox 2">
          <a:extLst>
            <a:ext uri="{FF2B5EF4-FFF2-40B4-BE49-F238E27FC236}">
              <a16:creationId xmlns:a16="http://schemas.microsoft.com/office/drawing/2014/main" id="{F62CEA79-3273-C532-376A-1509428CD57C}"/>
            </a:ext>
          </a:extLst>
        </xdr:cNvPr>
        <xdr:cNvSpPr txBox="1"/>
      </xdr:nvSpPr>
      <xdr:spPr>
        <a:xfrm>
          <a:off x="4743450" y="5505450"/>
          <a:ext cx="4197350" cy="193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 So sánh với thực tế và kịch bản đề tài</a:t>
          </a:r>
        </a:p>
        <a:p>
          <a:r>
            <a:rPr lang="vi-VN" b="1"/>
            <a:t>Thực tế mmWave UAV</a:t>
          </a:r>
          <a:r>
            <a:rPr lang="vi-VN"/>
            <a:t>: Paper/research (NYU, 3GPP) cho thấy mmWave tốt ở altitude &lt;100–120 m với beam tracking, nhưng coverage hạn chế ở cao hơn → output này khớp tốt.</a:t>
          </a:r>
        </a:p>
        <a:p>
          <a:r>
            <a:rPr lang="vi-VN" b="1"/>
            <a:t>Phù hợp emergency UAV</a:t>
          </a:r>
          <a:r>
            <a:rPr lang="vi-VN"/>
            <a:t>: Drone cứu hộ thường bay 20–100 m → kết quả cho thấy reliable ở khoảng này (trừ spike artifact), với latency siêu thấp cho C2 control.</a:t>
          </a:r>
        </a:p>
        <a:p>
          <a:r>
            <a:rPr lang="vi-VN" b="1"/>
            <a:t>New finding</a:t>
          </a:r>
          <a:r>
            <a:rPr lang="vi-VN"/>
            <a:t>: Spikes outage ở độ cao trung bình (20–40 m) → có thể do interaction giữa mobility (fixed 20–25 m/s) và beam update period → nhấn mạnh cần beam management nâng cao.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26</xdr:row>
      <xdr:rowOff>158750</xdr:rowOff>
    </xdr:from>
    <xdr:to>
      <xdr:col>12</xdr:col>
      <xdr:colOff>298450</xdr:colOff>
      <xdr:row>52</xdr:row>
      <xdr:rowOff>133350</xdr:rowOff>
    </xdr:to>
    <xdr:sp macro="" textlink="">
      <xdr:nvSpPr>
        <xdr:cNvPr id="2" name="TextBox 1">
          <a:extLst>
            <a:ext uri="{FF2B5EF4-FFF2-40B4-BE49-F238E27FC236}">
              <a16:creationId xmlns:a16="http://schemas.microsoft.com/office/drawing/2014/main" id="{A8F0E4A6-D11F-83E5-F557-05BD12619A5E}"/>
            </a:ext>
          </a:extLst>
        </xdr:cNvPr>
        <xdr:cNvSpPr txBox="1"/>
      </xdr:nvSpPr>
      <xdr:spPr>
        <a:xfrm>
          <a:off x="228600" y="4946650"/>
          <a:ext cx="7385050" cy="476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1. Đặc điểm chung và hiệu suất baseline</a:t>
          </a:r>
        </a:p>
        <a:p>
          <a:r>
            <a:rPr lang="vi-VN" b="1"/>
            <a:t>Ở mức TxPower cao (gNB ≥34–36 dBm, UE ≥24–26 dBm)</a:t>
          </a:r>
          <a:r>
            <a:rPr lang="vi-VN"/>
            <a:t>:</a:t>
          </a:r>
        </a:p>
        <a:p>
          <a:pPr lvl="1"/>
          <a:r>
            <a:rPr lang="vi-VN"/>
            <a:t>PacketLoss ổn định ~13.86% (chấp nhận được cho traffic URLLC-like trong simulation).</a:t>
          </a:r>
        </a:p>
        <a:p>
          <a:pPr lvl="1"/>
          <a:r>
            <a:rPr lang="vi-VN"/>
            <a:t>AvgDelay ~8.6 ms (tốt cho emergency C2 control).</a:t>
          </a:r>
        </a:p>
        <a:p>
          <a:pPr lvl="1"/>
          <a:r>
            <a:rPr lang="vi-VN"/>
            <a:t>Jitter ~0.227 ms (rất thấp, ổn định).</a:t>
          </a:r>
        </a:p>
        <a:p>
          <a:pPr lvl="1"/>
          <a:r>
            <a:rPr lang="vi-VN"/>
            <a:t>Throughput ~8.74 Mbps (gần max, phù hợp high data telemetry/video).</a:t>
          </a:r>
        </a:p>
        <a:p>
          <a:r>
            <a:rPr lang="vi-VN" b="1"/>
            <a:t>Baseline tốt nhất</a:t>
          </a:r>
          <a:r>
            <a:rPr lang="vi-VN"/>
            <a:t>: Hầu hết trường hợp TxPower gNB ≥36 dBm và UE ≥24 dBm đạt metrics gần như giống nhau (loss 13.86%, throughput 8.74 Mbps) → link margin dư thừa, không nhạy cảm thêm khi tăng power.</a:t>
          </a:r>
        </a:p>
        <a:p>
          <a:r>
            <a:rPr lang="vi-VN" b="1"/>
            <a:t>2. Trend suy giảm khi TxPower giảm</a:t>
          </a:r>
        </a:p>
        <a:p>
          <a:r>
            <a:rPr lang="vi-VN" b="1"/>
            <a:t>TxPower gNB thấp (30–32 dBm)</a:t>
          </a:r>
          <a:r>
            <a:rPr lang="vi-VN"/>
            <a:t>:</a:t>
          </a:r>
        </a:p>
        <a:p>
          <a:pPr lvl="1"/>
          <a:r>
            <a:rPr lang="vi-VN"/>
            <a:t>Loss tăng trung bình ~20–23% (cao nhất 49.5% tại 30 dBm UE 24 dBm).</a:t>
          </a:r>
        </a:p>
        <a:p>
          <a:pPr lvl="1"/>
          <a:r>
            <a:rPr lang="vi-VN"/>
            <a:t>Delay tăng mạnh (lên 24–60 ms ở vài điểm).</a:t>
          </a:r>
        </a:p>
        <a:p>
          <a:pPr lvl="1"/>
          <a:r>
            <a:rPr lang="vi-VN"/>
            <a:t>Throughput giảm ~8.3–8.4 Mbps.</a:t>
          </a:r>
        </a:p>
        <a:p>
          <a:pPr lvl="1"/>
          <a:r>
            <a:rPr lang="vi-VN"/>
            <a:t>→ Pathloss không bù đủ, SINR thấp → retrans nhiều.</a:t>
          </a:r>
        </a:p>
        <a:p>
          <a:r>
            <a:rPr lang="vi-VN" b="1"/>
            <a:t>TxPower UE thấp (20–22 dBm)</a:t>
          </a:r>
          <a:r>
            <a:rPr lang="vi-VN"/>
            <a:t>:</a:t>
          </a:r>
        </a:p>
        <a:p>
          <a:pPr lvl="1"/>
          <a:r>
            <a:rPr lang="vi-VN"/>
            <a:t>Loss tăng ~18–20% trung bình (cao nhất 35.55% tại gNB 38 dBm UE 22 dBm).</a:t>
          </a:r>
        </a:p>
        <a:p>
          <a:pPr lvl="1"/>
          <a:r>
            <a:rPr lang="vi-VN"/>
            <a:t>Delay spike cao (37–60 ms).</a:t>
          </a:r>
        </a:p>
        <a:p>
          <a:pPr lvl="1"/>
          <a:r>
            <a:rPr lang="vi-VN"/>
            <a:t>→ UL link yếu hơn (drone TxPower thấp do pin), ảnh hưởng lớn đến packet thành công.</a:t>
          </a:r>
        </a:p>
        <a:p>
          <a:r>
            <a:rPr lang="vi-VN" b="1"/>
            <a:t>Outlier nghiêm trọng</a:t>
          </a:r>
          <a:r>
            <a:rPr lang="vi-VN"/>
            <a:t> (từ phân tích dữ liệu):</a:t>
          </a:r>
        </a:p>
        <a:p>
          <a:pPr lvl="1"/>
          <a:r>
            <a:rPr lang="vi-VN"/>
            <a:t>30 dBm gNB + 24 dBm UE: Loss 49.52%, delay 24.66 ms.</a:t>
          </a:r>
        </a:p>
        <a:p>
          <a:pPr lvl="1"/>
          <a:r>
            <a:rPr lang="vi-VN"/>
            <a:t>32 dBm gNB + 20 dBm UE: Loss 18.15%, delay 60.85 ms.</a:t>
          </a:r>
        </a:p>
        <a:p>
          <a:pPr lvl="1"/>
          <a:r>
            <a:rPr lang="vi-VN"/>
            <a:t>32 dBm gNB + 26 dBm UE: Loss 37.64%, delay 33.92 ms.</a:t>
          </a:r>
        </a:p>
        <a:p>
          <a:pPr lvl="1"/>
          <a:r>
            <a:rPr lang="vi-VN"/>
            <a:t>Các spike tại UE 22 dBm khi gNB cao (38–40 dBm): Loss 20–35%.</a:t>
          </a:r>
        </a:p>
        <a:p>
          <a:r>
            <a:rPr lang="vi-VN" b="1">
              <a:effectLst/>
            </a:rPr>
            <a:t>Insight chính</a:t>
          </a:r>
          <a:r>
            <a:rPr lang="vi-VN">
              <a:effectLst/>
            </a:rPr>
            <a:t>:</a:t>
          </a:r>
        </a:p>
        <a:p>
          <a:r>
            <a:rPr lang="vi-VN"/>
            <a:t>Sub-6 GHz nhạy cảm với TxPower thấp → loss tăng 2–3 lần, delay spike do retrans.</a:t>
          </a:r>
        </a:p>
        <a:p>
          <a:r>
            <a:rPr lang="vi-VN"/>
            <a:t>TxPower UE ảnh hưởng lớn hơn gNB ở một số trường hợp (UL-critical cho UAV telemetry/control).</a:t>
          </a:r>
        </a:p>
        <a:p>
          <a:r>
            <a:rPr lang="vi-VN"/>
            <a:t>Ngưỡng an toàn: gNB ≥34 dBm, UE ≥24 dBm → loss ổn định ~13–15%, delay &lt;10 ms.</a:t>
          </a:r>
        </a:p>
        <a:p>
          <a:endParaRPr lang="en-US" sz="1100"/>
        </a:p>
      </xdr:txBody>
    </xdr:sp>
    <xdr:clientData/>
  </xdr:twoCellAnchor>
  <xdr:twoCellAnchor>
    <xdr:from>
      <xdr:col>12</xdr:col>
      <xdr:colOff>476250</xdr:colOff>
      <xdr:row>26</xdr:row>
      <xdr:rowOff>177800</xdr:rowOff>
    </xdr:from>
    <xdr:to>
      <xdr:col>19</xdr:col>
      <xdr:colOff>355600</xdr:colOff>
      <xdr:row>40</xdr:row>
      <xdr:rowOff>139700</xdr:rowOff>
    </xdr:to>
    <xdr:sp macro="" textlink="">
      <xdr:nvSpPr>
        <xdr:cNvPr id="3" name="TextBox 2">
          <a:extLst>
            <a:ext uri="{FF2B5EF4-FFF2-40B4-BE49-F238E27FC236}">
              <a16:creationId xmlns:a16="http://schemas.microsoft.com/office/drawing/2014/main" id="{F4FAEC51-1C0C-3D2A-0313-2B6F76D96BB0}"/>
            </a:ext>
          </a:extLst>
        </xdr:cNvPr>
        <xdr:cNvSpPr txBox="1"/>
      </xdr:nvSpPr>
      <xdr:spPr>
        <a:xfrm>
          <a:off x="7791450" y="4965700"/>
          <a:ext cx="4146550" cy="254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So với mmWave</a:t>
          </a:r>
          <a:r>
            <a:rPr lang="vi-VN"/>
            <a:t>: Sub-6 ít nhạy cảm hơn với power thấp (mmWave outage hoàn toàn nếu SINR thấp do pathloss lớn), nhưng throughput thấp hơn potential (sub-6 bandwidth hạn chế).</a:t>
          </a:r>
        </a:p>
        <a:p>
          <a:r>
            <a:rPr lang="vi-VN" b="1"/>
            <a:t>Ý nghĩa emergency UAV</a:t>
          </a:r>
          <a:r>
            <a:rPr lang="vi-VN"/>
            <a:t>:</a:t>
          </a:r>
        </a:p>
        <a:p>
          <a:pPr lvl="1"/>
          <a:r>
            <a:rPr lang="vi-VN"/>
            <a:t>Drone tiết kiệm pin (UE TxPower giảm xuống 20–22 dBm) → loss tăng, rủi ro mất dữ liệu control → cần power management hoặc slicing ưu tiên URLLC.</a:t>
          </a:r>
        </a:p>
        <a:p>
          <a:pPr lvl="1"/>
          <a:r>
            <a:rPr lang="vi-VN"/>
            <a:t>Private network nên dùng gNB TxPower cao (≥36 dBm) để bù coverage.</a:t>
          </a:r>
        </a:p>
        <a:p>
          <a:r>
            <a:rPr lang="vi-VN" b="1">
              <a:effectLst/>
            </a:rPr>
            <a:t>New finding</a:t>
          </a:r>
          <a:r>
            <a:rPr lang="vi-VN">
              <a:effectLst/>
            </a:rPr>
            <a:t>:</a:t>
          </a:r>
        </a:p>
        <a:p>
          <a:r>
            <a:rPr lang="vi-VN"/>
            <a:t>Outlier thường xảy ra khi TxPower không cân bằng (gNB thấp + UE trung bình, hoặc UE thấp + gNB cao) → gợi ý cần coordinated power control giữa gNB và UE.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203200</xdr:colOff>
      <xdr:row>26</xdr:row>
      <xdr:rowOff>38100</xdr:rowOff>
    </xdr:from>
    <xdr:to>
      <xdr:col>9</xdr:col>
      <xdr:colOff>508000</xdr:colOff>
      <xdr:row>50</xdr:row>
      <xdr:rowOff>133350</xdr:rowOff>
    </xdr:to>
    <xdr:sp macro="" textlink="">
      <xdr:nvSpPr>
        <xdr:cNvPr id="2" name="TextBox 1">
          <a:extLst>
            <a:ext uri="{FF2B5EF4-FFF2-40B4-BE49-F238E27FC236}">
              <a16:creationId xmlns:a16="http://schemas.microsoft.com/office/drawing/2014/main" id="{8421D434-621E-71B9-A257-4AB6F82BF824}"/>
            </a:ext>
          </a:extLst>
        </xdr:cNvPr>
        <xdr:cNvSpPr txBox="1"/>
      </xdr:nvSpPr>
      <xdr:spPr>
        <a:xfrm>
          <a:off x="203200" y="4826000"/>
          <a:ext cx="5791200" cy="451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Đặc điểm chung và hiệu suất baseline</a:t>
          </a:r>
        </a:p>
        <a:p>
          <a:r>
            <a:rPr lang="vi-VN" b="1"/>
            <a:t>Ở mức TxPower cao (gNB ≥38–40 dBm, UE ≥24–26 dBm)</a:t>
          </a:r>
          <a:r>
            <a:rPr lang="vi-VN"/>
            <a:t>:</a:t>
          </a:r>
        </a:p>
        <a:p>
          <a:pPr lvl="1"/>
          <a:r>
            <a:rPr lang="vi-VN"/>
            <a:t>PacketLoss ~9–12% (tốt cho mmWave simulation).</a:t>
          </a:r>
        </a:p>
        <a:p>
          <a:pPr lvl="1"/>
          <a:r>
            <a:rPr lang="vi-VN"/>
            <a:t>AvgDelay ~8 ms (chấp nhận được).</a:t>
          </a:r>
        </a:p>
        <a:p>
          <a:pPr lvl="1"/>
          <a:r>
            <a:rPr lang="vi-VN"/>
            <a:t>Jitter ~0.21–0.22 ms (rất ổn định).</a:t>
          </a:r>
        </a:p>
        <a:p>
          <a:pPr lvl="1"/>
          <a:r>
            <a:rPr lang="vi-VN"/>
            <a:t>Throughput ~9.0–9.2 Mbps (cao nhất trong các sweep, gần max).</a:t>
          </a:r>
        </a:p>
        <a:p>
          <a:r>
            <a:rPr lang="vi-VN" b="1"/>
            <a:t>Baseline tốt nhất</a:t>
          </a:r>
          <a:r>
            <a:rPr lang="vi-VN"/>
            <a:t>: gNB 40 dBm + UE 26 dBm → loss 9.2%, throughput 9.22 Mbps (gần lý tưởng).</a:t>
          </a:r>
        </a:p>
        <a:p>
          <a:r>
            <a:rPr lang="vi-VN" b="1"/>
            <a:t>2. Trend suy giảm mạnh khi TxPower giảm</a:t>
          </a:r>
        </a:p>
        <a:p>
          <a:r>
            <a:rPr lang="vi-VN" b="1"/>
            <a:t>TxPower gNB thấp (30–32 dBm)</a:t>
          </a:r>
          <a:r>
            <a:rPr lang="vi-VN"/>
            <a:t>:</a:t>
          </a:r>
        </a:p>
        <a:p>
          <a:pPr lvl="1"/>
          <a:r>
            <a:rPr lang="vi-VN"/>
            <a:t>Loss trung bình cao hơn (~10–13%), nhưng đặc biệt spike mạnh khi kết hợp UE thấp (22–26 dBm): loss 93–98% (gần outage hoàn toàn).</a:t>
          </a:r>
        </a:p>
        <a:p>
          <a:pPr lvl="1"/>
          <a:r>
            <a:rPr lang="vi-VN"/>
            <a:t>Delay spike lên 12–20 ms ở vài điểm.</a:t>
          </a:r>
        </a:p>
        <a:p>
          <a:pPr lvl="1"/>
          <a:r>
            <a:rPr lang="vi-VN"/>
            <a:t>Throughput giảm mạnh xuống ~5–6.5 Mbps khi outage.</a:t>
          </a:r>
        </a:p>
        <a:p>
          <a:r>
            <a:rPr lang="vi-VN" b="1"/>
            <a:t>TxPower UE thấp (20–22 dBm)</a:t>
          </a:r>
          <a:r>
            <a:rPr lang="vi-VN"/>
            <a:t>:</a:t>
          </a:r>
        </a:p>
        <a:p>
          <a:pPr lvl="1"/>
          <a:r>
            <a:rPr lang="vi-VN"/>
            <a:t>Ảnh hưởng nghiêm trọng hơn gNB: loss thường &gt;90–98% ở hầu hết gNB power (trừ vài điểm).</a:t>
          </a:r>
        </a:p>
        <a:p>
          <a:pPr lvl="1"/>
          <a:r>
            <a:rPr lang="vi-VN"/>
            <a:t>Delay spike cao (15–29 ms).</a:t>
          </a:r>
        </a:p>
        <a:p>
          <a:pPr lvl="1"/>
          <a:r>
            <a:rPr lang="vi-VN"/>
            <a:t>Throughput giảm mạnh ~5–6 Mbps.</a:t>
          </a:r>
        </a:p>
        <a:p>
          <a:pPr lvl="1"/>
          <a:r>
            <a:rPr lang="vi-VN"/>
            <a:t>→ UL link (drone → gNB) là bottleneck lớn ở mmWave do pathloss cao.</a:t>
          </a:r>
        </a:p>
        <a:p>
          <a:r>
            <a:rPr lang="vi-VN" b="1"/>
            <a:t>Outlier nghiêm trọng (artifact/outage)</a:t>
          </a:r>
          <a:r>
            <a:rPr lang="vi-VN"/>
            <a:t>:</a:t>
          </a:r>
        </a:p>
        <a:p>
          <a:pPr lvl="1"/>
          <a:r>
            <a:rPr lang="vi-VN"/>
            <a:t>30 dBm gNB + 22/26 dBm UE: loss 93–98%.</a:t>
          </a:r>
        </a:p>
        <a:p>
          <a:pPr lvl="1"/>
          <a:r>
            <a:rPr lang="vi-VN"/>
            <a:t>34 dBm gNB + 22 dBm UE: artifact failure hoàn toàn (throughput giả 13441.7 Mbps).</a:t>
          </a:r>
        </a:p>
        <a:p>
          <a:pPr lvl="1"/>
          <a:r>
            <a:rPr lang="vi-VN"/>
            <a:t>36 dBm gNB + 22–26 dBm UE: loss 55–94%.</a:t>
          </a:r>
        </a:p>
        <a:p>
          <a:pPr lvl="1"/>
          <a:r>
            <a:rPr lang="vi-VN"/>
            <a:t>38 dBm gNB + 26 dBm UE: loss 95%.</a:t>
          </a:r>
        </a:p>
        <a:p>
          <a:pPr lvl="1"/>
          <a:r>
            <a:rPr lang="vi-VN"/>
            <a:t>40 dBm gNB + 22 dBm UE: loss 97%.</a:t>
          </a:r>
        </a:p>
        <a:p>
          <a:endParaRPr lang="en-US" sz="1100"/>
        </a:p>
      </xdr:txBody>
    </xdr:sp>
    <xdr:clientData/>
  </xdr:twoCellAnchor>
  <xdr:twoCellAnchor>
    <xdr:from>
      <xdr:col>10</xdr:col>
      <xdr:colOff>292100</xdr:colOff>
      <xdr:row>26</xdr:row>
      <xdr:rowOff>76200</xdr:rowOff>
    </xdr:from>
    <xdr:to>
      <xdr:col>18</xdr:col>
      <xdr:colOff>342900</xdr:colOff>
      <xdr:row>32</xdr:row>
      <xdr:rowOff>139700</xdr:rowOff>
    </xdr:to>
    <xdr:sp macro="" textlink="">
      <xdr:nvSpPr>
        <xdr:cNvPr id="3" name="TextBox 2">
          <a:extLst>
            <a:ext uri="{FF2B5EF4-FFF2-40B4-BE49-F238E27FC236}">
              <a16:creationId xmlns:a16="http://schemas.microsoft.com/office/drawing/2014/main" id="{4A997648-CDAF-3054-A47E-7C46C3B87C49}"/>
            </a:ext>
          </a:extLst>
        </xdr:cNvPr>
        <xdr:cNvSpPr txBox="1"/>
      </xdr:nvSpPr>
      <xdr:spPr>
        <a:xfrm>
          <a:off x="6388100" y="4864100"/>
          <a:ext cx="4927600" cy="116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effectLst/>
            </a:rPr>
            <a:t>Insight chính</a:t>
          </a:r>
          <a:r>
            <a:rPr lang="vi-VN">
              <a:effectLst/>
            </a:rPr>
            <a:t>:</a:t>
          </a:r>
        </a:p>
        <a:p>
          <a:r>
            <a:rPr lang="vi-VN"/>
            <a:t>mmWave cực kỳ nhạy cảm với TxPower UE (drone): Chỉ giảm xuống 22 dBm là outage nặng (loss &gt;90%), dù gNB power cao.</a:t>
          </a:r>
        </a:p>
        <a:p>
          <a:r>
            <a:rPr lang="vi-VN"/>
            <a:t>TxPower gNB giúp cải thiện nhưng không bù đủ khi UE yếu → drone tiết kiệm pin (giảm TxPower) sẽ gây rủi ro lớn mất kết nối control/telemetry.</a:t>
          </a:r>
        </a:p>
        <a:p>
          <a:endParaRPr lang="en-US" sz="1100"/>
        </a:p>
      </xdr:txBody>
    </xdr:sp>
    <xdr:clientData/>
  </xdr:twoCellAnchor>
  <xdr:twoCellAnchor>
    <xdr:from>
      <xdr:col>10</xdr:col>
      <xdr:colOff>311150</xdr:colOff>
      <xdr:row>34</xdr:row>
      <xdr:rowOff>0</xdr:rowOff>
    </xdr:from>
    <xdr:to>
      <xdr:col>18</xdr:col>
      <xdr:colOff>558800</xdr:colOff>
      <xdr:row>47</xdr:row>
      <xdr:rowOff>63500</xdr:rowOff>
    </xdr:to>
    <xdr:sp macro="" textlink="">
      <xdr:nvSpPr>
        <xdr:cNvPr id="4" name="TextBox 3">
          <a:extLst>
            <a:ext uri="{FF2B5EF4-FFF2-40B4-BE49-F238E27FC236}">
              <a16:creationId xmlns:a16="http://schemas.microsoft.com/office/drawing/2014/main" id="{3AC36B5B-A1D9-FCB6-309C-C05E40B9AE7A}"/>
            </a:ext>
          </a:extLst>
        </xdr:cNvPr>
        <xdr:cNvSpPr txBox="1"/>
      </xdr:nvSpPr>
      <xdr:spPr>
        <a:xfrm>
          <a:off x="6407150" y="6261100"/>
          <a:ext cx="5124450"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So sánh với sub-6 GHz (UMa 3.5 GHz)</a:t>
          </a:r>
        </a:p>
        <a:p>
          <a:r>
            <a:rPr lang="vi-VN" b="1"/>
            <a:t>mmWave nhạy cảm hơn rất nhiều</a:t>
          </a:r>
          <a:r>
            <a:rPr lang="vi-VN"/>
            <a:t>:</a:t>
          </a:r>
        </a:p>
        <a:p>
          <a:pPr lvl="1"/>
          <a:r>
            <a:rPr lang="vi-VN"/>
            <a:t>Sub-6: Loss chỉ tăng từ ~14% lên ~35–50% khi power thấp → vẫn duy trì kết nối.</a:t>
          </a:r>
        </a:p>
        <a:p>
          <a:pPr lvl="1"/>
          <a:r>
            <a:rPr lang="vi-VN"/>
            <a:t>mmWave: Loss nhảy vọt từ ~9–12% lên 90–98% khi UE power giảm → outage gần hoàn toàn.</a:t>
          </a:r>
        </a:p>
        <a:p>
          <a:r>
            <a:rPr lang="vi-VN" b="1"/>
            <a:t>Throughput mmWave cao hơn</a:t>
          </a:r>
          <a:r>
            <a:rPr lang="vi-VN"/>
            <a:t> khi link tốt (~9.2 Mbps vs ~8.7 Mbps sub-6), nhưng dễ mất ổn định.</a:t>
          </a:r>
        </a:p>
        <a:p>
          <a:r>
            <a:rPr lang="vi-VN" b="1"/>
            <a:t>Latency tương đương</a:t>
          </a:r>
          <a:r>
            <a:rPr lang="vi-VN"/>
            <a:t> (~8 ms) ở trạng thái tốt, nhưng mmWave spike cao hơn khi outage.</a:t>
          </a:r>
        </a:p>
        <a:p>
          <a:r>
            <a:rPr lang="vi-VN" b="1">
              <a:effectLst/>
            </a:rPr>
            <a:t>New finding</a:t>
          </a:r>
          <a:r>
            <a:rPr lang="vi-VN">
              <a:effectLst/>
            </a:rPr>
            <a:t>:</a:t>
          </a:r>
        </a:p>
        <a:p>
          <a:r>
            <a:rPr lang="vi-VN"/>
            <a:t>mmWave yêu cầu TxPower UE cao hơn đáng kể (≥24 dBm) để duy trì reliability → hạn chế lớn cho UAV (pin hạn chế, không thể duy trì high power lâu).</a:t>
          </a:r>
        </a:p>
        <a:p>
          <a:r>
            <a:rPr lang="vi-VN"/>
            <a:t>Sub-6 GHz robust hơn với power thấp → phù hợp hơn làm "anchor" cho control slice.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xdr:colOff>
      <xdr:row>8</xdr:row>
      <xdr:rowOff>19050</xdr:rowOff>
    </xdr:from>
    <xdr:to>
      <xdr:col>12</xdr:col>
      <xdr:colOff>330200</xdr:colOff>
      <xdr:row>22</xdr:row>
      <xdr:rowOff>31750</xdr:rowOff>
    </xdr:to>
    <xdr:sp macro="" textlink="">
      <xdr:nvSpPr>
        <xdr:cNvPr id="2" name="TextBox 1">
          <a:extLst>
            <a:ext uri="{FF2B5EF4-FFF2-40B4-BE49-F238E27FC236}">
              <a16:creationId xmlns:a16="http://schemas.microsoft.com/office/drawing/2014/main" id="{0A3EE92C-B462-CF6F-D029-23CEDDF86A9C}"/>
            </a:ext>
          </a:extLst>
        </xdr:cNvPr>
        <xdr:cNvSpPr txBox="1"/>
      </xdr:nvSpPr>
      <xdr:spPr>
        <a:xfrm>
          <a:off x="3060700" y="1492250"/>
          <a:ext cx="4584700" cy="259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1. Tổng quan: Hiệu suất gần như lý tưởng</a:t>
          </a:r>
        </a:p>
        <a:p>
          <a:r>
            <a:rPr lang="vi-VN" b="1"/>
            <a:t>Cả hai slice đều đạt reliability 100%</a:t>
          </a:r>
          <a:r>
            <a:rPr lang="vi-VN"/>
            <a:t> (loss 0.0000% – không mất gói nào trong 100 gói).</a:t>
          </a:r>
        </a:p>
        <a:p>
          <a:r>
            <a:rPr lang="vi-VN" b="1"/>
            <a:t>Latency siêu thấp</a:t>
          </a:r>
          <a:r>
            <a:rPr lang="vi-VN"/>
            <a:t>: URLLC ~0.785 ms, eMBB ~1.925 ms → vượt xa yêu cầu 3GPP URLLC (&lt;5–10 ms) và eMBB realtime video.</a:t>
          </a:r>
        </a:p>
        <a:p>
          <a:r>
            <a:rPr lang="vi-VN" b="1"/>
            <a:t>Jitter cực thấp</a:t>
          </a:r>
          <a:r>
            <a:rPr lang="vi-VN"/>
            <a:t>: URLLC ~0.097 ms, eMBB ~0.011 ms → ổn định tuyệt đối.</a:t>
          </a:r>
        </a:p>
        <a:p>
          <a:r>
            <a:rPr lang="vi-VN" b="1"/>
            <a:t>Throughput hợp lý</a:t>
          </a:r>
          <a:r>
            <a:rPr lang="vi-VN"/>
            <a:t>:</a:t>
          </a:r>
        </a:p>
        <a:p>
          <a:pPr lvl="1"/>
          <a:r>
            <a:rPr lang="vi-VN"/>
            <a:t>URLLC (C2): ~2.128 Mbps → phù hợp traffic control/telemetry (gói nhỏ 100 bytes, interval 500 µs → lý thuyết ~1.92 Mbps + overhead).</a:t>
          </a:r>
        </a:p>
        <a:p>
          <a:pPr lvl="1"/>
          <a:r>
            <a:rPr lang="vi-VN"/>
            <a:t>eMBB (Video): ~0.992 Mbps → thấp hơn vì bạn set interval 10 ms cho gói 1200 bytes (lý thuyết ~0.96 Mbps) → đúng thiết kế (video không cần quá cao ở simulation này).</a:t>
          </a:r>
        </a:p>
        <a:p>
          <a:endParaRPr lang="en-US" sz="1100"/>
        </a:p>
      </xdr:txBody>
    </xdr:sp>
    <xdr:clientData/>
  </xdr:twoCellAnchor>
  <xdr:twoCellAnchor>
    <xdr:from>
      <xdr:col>13</xdr:col>
      <xdr:colOff>12700</xdr:colOff>
      <xdr:row>7</xdr:row>
      <xdr:rowOff>95250</xdr:rowOff>
    </xdr:from>
    <xdr:to>
      <xdr:col>23</xdr:col>
      <xdr:colOff>482600</xdr:colOff>
      <xdr:row>25</xdr:row>
      <xdr:rowOff>146050</xdr:rowOff>
    </xdr:to>
    <xdr:sp macro="" textlink="">
      <xdr:nvSpPr>
        <xdr:cNvPr id="3" name="TextBox 2">
          <a:extLst>
            <a:ext uri="{FF2B5EF4-FFF2-40B4-BE49-F238E27FC236}">
              <a16:creationId xmlns:a16="http://schemas.microsoft.com/office/drawing/2014/main" id="{46D0A3DD-A2F3-A6BA-4009-EE940B818EEF}"/>
            </a:ext>
          </a:extLst>
        </xdr:cNvPr>
        <xdr:cNvSpPr txBox="1"/>
      </xdr:nvSpPr>
      <xdr:spPr>
        <a:xfrm>
          <a:off x="7937500" y="1384300"/>
          <a:ext cx="6565900" cy="336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2. Phân tích chi tiết từng slice và lợi ích slicing</a:t>
          </a:r>
        </a:p>
        <a:p>
          <a:r>
            <a:rPr lang="vi-VN" b="1"/>
            <a:t>URLLC slice (C2 Control – Port 9000)</a:t>
          </a:r>
          <a:r>
            <a:rPr lang="vi-VN"/>
            <a:t>:</a:t>
          </a:r>
        </a:p>
        <a:p>
          <a:pPr lvl="1"/>
          <a:r>
            <a:rPr lang="vi-VN"/>
            <a:t>Delay trung bình </a:t>
          </a:r>
          <a:r>
            <a:rPr lang="vi-VN" b="1"/>
            <a:t>0.785 ms</a:t>
          </a:r>
          <a:r>
            <a:rPr lang="vi-VN"/>
            <a:t> → cực kỳ thấp, phù hợp command &amp; control khẩn cấp (drone phản hồi tức thì).</a:t>
          </a:r>
        </a:p>
        <a:p>
          <a:pPr lvl="1"/>
          <a:r>
            <a:rPr lang="vi-VN"/>
            <a:t>Jitter 0.097 ms → biến động rất nhỏ, đảm bảo điều khiển mượt.</a:t>
          </a:r>
        </a:p>
        <a:p>
          <a:pPr lvl="1"/>
          <a:r>
            <a:rPr lang="vi-VN"/>
            <a:t>Loss 0% → reliability 100%, đáp ứng yêu cầu 99.999%+ của URLLC.</a:t>
          </a:r>
        </a:p>
        <a:p>
          <a:pPr lvl="1"/>
          <a:r>
            <a:rPr lang="vi-VN" b="1"/>
            <a:t>Ưu tiên rõ rệt</a:t>
          </a:r>
          <a:r>
            <a:rPr lang="vi-VN"/>
            <a:t>: Dù cùng tải mạng với video flow, URLLC vẫn có delay thấp hơn eMBB ~54% (0.785 vs 1.925 ms).</a:t>
          </a:r>
        </a:p>
        <a:p>
          <a:r>
            <a:rPr lang="vi-VN" b="1"/>
            <a:t>eMBB slice (Video – Port 9001)</a:t>
          </a:r>
          <a:r>
            <a:rPr lang="vi-VN"/>
            <a:t>:</a:t>
          </a:r>
        </a:p>
        <a:p>
          <a:pPr lvl="1"/>
          <a:r>
            <a:rPr lang="vi-VN"/>
            <a:t>Delay ~1.925 ms → vẫn rất tốt cho realtime video (HD/4K streaming).</a:t>
          </a:r>
        </a:p>
        <a:p>
          <a:pPr lvl="1"/>
          <a:r>
            <a:rPr lang="vi-VN"/>
            <a:t>Jitter cực thấp 0.011 ms → hình ảnh mượt mà, không giật.</a:t>
          </a:r>
        </a:p>
        <a:p>
          <a:pPr lvl="1"/>
          <a:r>
            <a:rPr lang="vi-VN"/>
            <a:t>Loss 0% → không mất frame.</a:t>
          </a:r>
        </a:p>
        <a:p>
          <a:pPr lvl="1"/>
          <a:r>
            <a:rPr lang="vi-VN"/>
            <a:t>Throughput ~0.992 Mbps → đủ cho video compressed (có thể tăng interval/packet size để đạt cao hơn nếu cần demo high bandwidth).</a:t>
          </a:r>
        </a:p>
        <a:p>
          <a:r>
            <a:rPr lang="vi-VN" b="1">
              <a:effectLst/>
            </a:rPr>
            <a:t>Lợi ích slicing rõ ràng</a:t>
          </a:r>
          <a:r>
            <a:rPr lang="vi-VN">
              <a:effectLst/>
            </a:rPr>
            <a:t>:</a:t>
          </a:r>
        </a:p>
        <a:p>
          <a:r>
            <a:rPr lang="vi-VN"/>
            <a:t>Scheduler (TdmaRR) + dedicated EPS bearers/TFT đã </a:t>
          </a:r>
          <a:r>
            <a:rPr lang="vi-VN" b="1"/>
            <a:t>ưu tiên URLLC</a:t>
          </a:r>
          <a:r>
            <a:rPr lang="vi-VN"/>
            <a:t> (GBR_CONV_VOICE bearer có priority cao hơn NGBR_VIDEO_TCP_DEFAULT).</a:t>
          </a:r>
        </a:p>
        <a:p>
          <a:r>
            <a:rPr lang="vi-VN"/>
            <a:t>URLLC được delay thấp hơn đáng kể dù cùng điều kiện radio → chứng minh slicing đảm bảo QoS khác biệt: </a:t>
          </a:r>
          <a:r>
            <a:rPr lang="vi-VN" b="1"/>
            <a:t>control luôn ưu tiên, video chấp nhận delay cao hơn một chút</a:t>
          </a:r>
          <a:r>
            <a:rPr lang="vi-VN"/>
            <a:t>.</a:t>
          </a:r>
        </a:p>
      </xdr:txBody>
    </xdr:sp>
    <xdr:clientData/>
  </xdr:twoCellAnchor>
  <xdr:twoCellAnchor>
    <xdr:from>
      <xdr:col>0</xdr:col>
      <xdr:colOff>184150</xdr:colOff>
      <xdr:row>26</xdr:row>
      <xdr:rowOff>152400</xdr:rowOff>
    </xdr:from>
    <xdr:to>
      <xdr:col>14</xdr:col>
      <xdr:colOff>412750</xdr:colOff>
      <xdr:row>47</xdr:row>
      <xdr:rowOff>19050</xdr:rowOff>
    </xdr:to>
    <xdr:sp macro="" textlink="">
      <xdr:nvSpPr>
        <xdr:cNvPr id="4" name="TextBox 3">
          <a:extLst>
            <a:ext uri="{FF2B5EF4-FFF2-40B4-BE49-F238E27FC236}">
              <a16:creationId xmlns:a16="http://schemas.microsoft.com/office/drawing/2014/main" id="{CD7FDBA5-CEEF-DF7B-D13B-DBFFAF21588B}"/>
            </a:ext>
          </a:extLst>
        </xdr:cNvPr>
        <xdr:cNvSpPr txBox="1"/>
      </xdr:nvSpPr>
      <xdr:spPr>
        <a:xfrm>
          <a:off x="184150" y="4940300"/>
          <a:ext cx="8763000" cy="3733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1. Cơ chế tổng quát mô phỏng slicing (URLLC và eMBB)</a:t>
          </a:r>
        </a:p>
        <a:p>
          <a:r>
            <a:rPr lang="vi-VN">
              <a:effectLst/>
            </a:rPr>
            <a:t>Trong ns-3 NR, slicing được implement dựa trên </a:t>
          </a:r>
          <a:r>
            <a:rPr lang="vi-VN" b="1">
              <a:effectLst/>
            </a:rPr>
            <a:t>5G SA (Standalone) architecture</a:t>
          </a:r>
          <a:r>
            <a:rPr lang="vi-VN">
              <a:effectLst/>
            </a:rPr>
            <a:t> với EPC helper, sử dụng </a:t>
          </a:r>
          <a:r>
            <a:rPr lang="vi-VN" b="1">
              <a:effectLst/>
            </a:rPr>
            <a:t>dedicated EPS bearers</a:t>
          </a:r>
          <a:r>
            <a:rPr lang="vi-VN">
              <a:effectLst/>
            </a:rPr>
            <a:t> để tạo "slices" ảo:</a:t>
          </a:r>
        </a:p>
        <a:p>
          <a:r>
            <a:rPr lang="vi-VN" b="1"/>
            <a:t>EPS Bearers</a:t>
          </a:r>
          <a:r>
            <a:rPr lang="vi-VN"/>
            <a:t>: Đây là "kênh" ảo giữa UE (drone) và core network, mỗi bearer có QoS profile riêng (e.g., GBR cho guaranteed bit rate/low latency, Non-GBR cho best-effort).</a:t>
          </a:r>
        </a:p>
        <a:p>
          <a:pPr lvl="1"/>
          <a:r>
            <a:rPr lang="vi-VN"/>
            <a:t>Default bearer: Tạo tự động khi UE connect, dùng cho traffic chung.</a:t>
          </a:r>
        </a:p>
        <a:p>
          <a:pPr lvl="1"/>
          <a:r>
            <a:rPr lang="vi-VN"/>
            <a:t>Dedicated bearers: Activate thủ công để slicing, ưu tiên QoS cụ thể.</a:t>
          </a:r>
        </a:p>
        <a:p>
          <a:r>
            <a:rPr lang="vi-VN" b="1"/>
            <a:t>TFT (Traffic Flow Template)</a:t>
          </a:r>
          <a:r>
            <a:rPr lang="vi-VN"/>
            <a:t>: Bộ lọc packet dựa trên header (port, IP, direction) để map traffic vào bearer phù hợp.</a:t>
          </a:r>
        </a:p>
        <a:p>
          <a:pPr lvl="1"/>
          <a:r>
            <a:rPr lang="vi-VN"/>
            <a:t>Ví dụ: Filter dựa trên port để phân biệt flow (UL/DL).</a:t>
          </a:r>
        </a:p>
        <a:p>
          <a:r>
            <a:rPr lang="vi-VN" b="1"/>
            <a:t>Scheduler (e.g., NrMacSchedulerTdmaRR)</a:t>
          </a:r>
          <a:r>
            <a:rPr lang="vi-VN"/>
            <a:t>: Ưu tiên slot/time resource cho bearer có priority cao (URLLC trước eMBB).</a:t>
          </a:r>
        </a:p>
        <a:p>
          <a:r>
            <a:rPr lang="vi-VN">
              <a:effectLst/>
            </a:rPr>
            <a:t>Quy trình mô phỏng:</a:t>
          </a:r>
        </a:p>
        <a:p>
          <a:r>
            <a:rPr lang="vi-VN"/>
            <a:t>Tạo nodes (gNB, UE/drone, remote host).</a:t>
          </a:r>
        </a:p>
        <a:p>
          <a:r>
            <a:rPr lang="vi-VN"/>
            <a:t>Setup mobility (speed, altitude từ sweep).</a:t>
          </a:r>
        </a:p>
        <a:p>
          <a:r>
            <a:rPr lang="vi-VN"/>
            <a:t>Config NR helper với band (mmWave/sub-6), beamforming, numerology.</a:t>
          </a:r>
        </a:p>
        <a:p>
          <a:r>
            <a:rPr lang="vi-VN"/>
            <a:t>Activate dedicated bearers với TFT:</a:t>
          </a:r>
        </a:p>
        <a:p>
          <a:pPr lvl="1"/>
          <a:r>
            <a:rPr lang="vi-VN"/>
            <a:t>URLLC slice (control): GBR_CONV_VOICE bearer (priority cao, low latency).</a:t>
          </a:r>
        </a:p>
        <a:p>
          <a:pPr lvl="1"/>
          <a:r>
            <a:rPr lang="vi-VN"/>
            <a:t>eMBB slice (video): NGBR_VIDEO_TCP_DEFAULT bearer (high throughput, best-effort).</a:t>
          </a:r>
        </a:p>
        <a:p>
          <a:r>
            <a:rPr lang="vi-VN"/>
            <a:t>Simulate flows bằng UdpClient/Server (packet streams đơn giản).</a:t>
          </a:r>
        </a:p>
        <a:p>
          <a:r>
            <a:rPr lang="vi-VN"/>
            <a:t>FlowMonitor để measure metrics từng slice (delay, loss, throughput).</a:t>
          </a:r>
        </a:p>
        <a:p>
          <a:r>
            <a:rPr lang="vi-VN"/>
            <a:t>Kết quả: URLLC slice thường delay thấp hơn, loss thấp hơn so eMBB dù cùng tải.</a:t>
          </a:r>
        </a:p>
        <a:p>
          <a:r>
            <a:rPr lang="vi-VN">
              <a:effectLst/>
            </a:rPr>
            <a:t>Ưu điểm: Dễ implement, chứng minh QoS slicing (URLLC ưu tiên). Nhược điểm: ns-3 không simulate video thực (encode/stream H.264/H.265), chỉ packet flows – nên metrics là ước lượng network-level (e.g., throughput đủ cho video bitrate).</a:t>
          </a:r>
        </a:p>
      </xdr:txBody>
    </xdr:sp>
    <xdr:clientData/>
  </xdr:twoCellAnchor>
  <xdr:twoCellAnchor>
    <xdr:from>
      <xdr:col>0</xdr:col>
      <xdr:colOff>133350</xdr:colOff>
      <xdr:row>48</xdr:row>
      <xdr:rowOff>82550</xdr:rowOff>
    </xdr:from>
    <xdr:to>
      <xdr:col>20</xdr:col>
      <xdr:colOff>323850</xdr:colOff>
      <xdr:row>84</xdr:row>
      <xdr:rowOff>69850</xdr:rowOff>
    </xdr:to>
    <xdr:sp macro="" textlink="">
      <xdr:nvSpPr>
        <xdr:cNvPr id="5" name="TextBox 4">
          <a:extLst>
            <a:ext uri="{FF2B5EF4-FFF2-40B4-BE49-F238E27FC236}">
              <a16:creationId xmlns:a16="http://schemas.microsoft.com/office/drawing/2014/main" id="{B520A174-201F-1EF6-FEDE-EBAA9B78437C}"/>
            </a:ext>
          </a:extLst>
        </xdr:cNvPr>
        <xdr:cNvSpPr txBox="1"/>
      </xdr:nvSpPr>
      <xdr:spPr>
        <a:xfrm>
          <a:off x="133350" y="8921750"/>
          <a:ext cx="12382500" cy="661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effectLst/>
            </a:rPr>
            <a:t>Cơ chế mô phỏng network slicing trong ns-3 (cụ thể module NR v2.4) dựa trên việc sử dụng </a:t>
          </a:r>
          <a:r>
            <a:rPr lang="vi-VN" b="1">
              <a:effectLst/>
            </a:rPr>
            <a:t>EPS Bearers</a:t>
          </a:r>
          <a:r>
            <a:rPr lang="vi-VN">
              <a:effectLst/>
            </a:rPr>
            <a:t> (Evolved Packet System Bearers) kết hợp với </a:t>
          </a:r>
          <a:r>
            <a:rPr lang="vi-VN" b="1">
              <a:effectLst/>
            </a:rPr>
            <a:t>TFT (Traffic Flow Template)</a:t>
          </a:r>
          <a:r>
            <a:rPr lang="vi-VN">
              <a:effectLst/>
            </a:rPr>
            <a:t> để phân loại và ưu tiên traffic theo QoS. Đây là cách ns-3 simulate slicing ở level mạng (packet flows), không phải truyền dữ liệu thực (như video encode/decode), vì ns-3 tập trung vào network simulation (delay, loss, throughput) chứ không phải application-level processing. Tôi sẽ giải thích chi tiết cơ chế, và lấy ví dụ về eMBB slice cho video như bạn yêu cầu.</a:t>
          </a:r>
        </a:p>
        <a:p>
          <a:r>
            <a:rPr lang="vi-VN" b="1"/>
            <a:t>1. Cơ chế tổng quát mô phỏng slicing (URLLC và eMBB)</a:t>
          </a:r>
        </a:p>
        <a:p>
          <a:r>
            <a:rPr lang="vi-VN">
              <a:effectLst/>
            </a:rPr>
            <a:t>Trong ns-3 NR, slicing được implement dựa trên </a:t>
          </a:r>
          <a:r>
            <a:rPr lang="vi-VN" b="1">
              <a:effectLst/>
            </a:rPr>
            <a:t>5G SA (Standalone) architecture</a:t>
          </a:r>
          <a:r>
            <a:rPr lang="vi-VN">
              <a:effectLst/>
            </a:rPr>
            <a:t> với EPC helper, sử dụng </a:t>
          </a:r>
          <a:r>
            <a:rPr lang="vi-VN" b="1">
              <a:effectLst/>
            </a:rPr>
            <a:t>dedicated EPS bearers</a:t>
          </a:r>
          <a:r>
            <a:rPr lang="vi-VN">
              <a:effectLst/>
            </a:rPr>
            <a:t> để tạo "slices" ảo:</a:t>
          </a:r>
        </a:p>
        <a:p>
          <a:r>
            <a:rPr lang="vi-VN" b="1"/>
            <a:t>EPS Bearers</a:t>
          </a:r>
          <a:r>
            <a:rPr lang="vi-VN"/>
            <a:t>: Đây là "kênh" ảo giữa UE (drone) và core network, mỗi bearer có QoS profile riêng (e.g., GBR cho guaranteed bit rate/low latency, Non-GBR cho best-effort).</a:t>
          </a:r>
        </a:p>
        <a:p>
          <a:pPr lvl="1"/>
          <a:r>
            <a:rPr lang="vi-VN"/>
            <a:t>Default bearer: Tạo tự động khi UE connect, dùng cho traffic chung.</a:t>
          </a:r>
        </a:p>
        <a:p>
          <a:pPr lvl="1"/>
          <a:r>
            <a:rPr lang="vi-VN"/>
            <a:t>Dedicated bearers: Activate thủ công để slicing, ưu tiên QoS cụ thể.</a:t>
          </a:r>
        </a:p>
        <a:p>
          <a:r>
            <a:rPr lang="vi-VN" b="1"/>
            <a:t>TFT (Traffic Flow Template)</a:t>
          </a:r>
          <a:r>
            <a:rPr lang="vi-VN"/>
            <a:t>: Bộ lọc packet dựa trên header (port, IP, direction) để map traffic vào bearer phù hợp.</a:t>
          </a:r>
        </a:p>
        <a:p>
          <a:pPr lvl="1"/>
          <a:r>
            <a:rPr lang="vi-VN"/>
            <a:t>Ví dụ: Filter dựa trên port để phân biệt flow (UL/DL).</a:t>
          </a:r>
        </a:p>
        <a:p>
          <a:r>
            <a:rPr lang="vi-VN" b="1"/>
            <a:t>Scheduler (e.g., NrMacSchedulerTdmaRR)</a:t>
          </a:r>
          <a:r>
            <a:rPr lang="vi-VN"/>
            <a:t>: Ưu tiên slot/time resource cho bearer có priority cao (URLLC trước eMBB).</a:t>
          </a:r>
        </a:p>
        <a:p>
          <a:r>
            <a:rPr lang="vi-VN">
              <a:effectLst/>
            </a:rPr>
            <a:t>Quy trình mô phỏng:</a:t>
          </a:r>
        </a:p>
        <a:p>
          <a:r>
            <a:rPr lang="vi-VN"/>
            <a:t>Tạo nodes (gNB, UE/drone, remote host).</a:t>
          </a:r>
        </a:p>
        <a:p>
          <a:r>
            <a:rPr lang="vi-VN"/>
            <a:t>Setup mobility (speed, altitude từ sweep).</a:t>
          </a:r>
        </a:p>
        <a:p>
          <a:r>
            <a:rPr lang="vi-VN"/>
            <a:t>Config NR helper với band (mmWave/sub-6), beamforming, numerology.</a:t>
          </a:r>
        </a:p>
        <a:p>
          <a:r>
            <a:rPr lang="vi-VN"/>
            <a:t>Activate dedicated bearers với TFT:</a:t>
          </a:r>
        </a:p>
        <a:p>
          <a:pPr lvl="1"/>
          <a:r>
            <a:rPr lang="vi-VN"/>
            <a:t>URLLC slice (control): GBR_CONV_VOICE bearer (priority cao, low latency).</a:t>
          </a:r>
        </a:p>
        <a:p>
          <a:pPr lvl="1"/>
          <a:r>
            <a:rPr lang="vi-VN"/>
            <a:t>eMBB slice (video): NGBR_VIDEO_TCP_DEFAULT bearer (high throughput, best-effort).</a:t>
          </a:r>
        </a:p>
        <a:p>
          <a:r>
            <a:rPr lang="vi-VN"/>
            <a:t>Simulate flows bằng UdpClient/Server (packet streams đơn giản).</a:t>
          </a:r>
        </a:p>
        <a:p>
          <a:r>
            <a:rPr lang="vi-VN"/>
            <a:t>FlowMonitor để measure metrics từng slice (delay, loss, throughput).</a:t>
          </a:r>
        </a:p>
        <a:p>
          <a:r>
            <a:rPr lang="vi-VN"/>
            <a:t>Kết quả: URLLC slice thường delay thấp hơn, loss thấp hơn so eMBB dù cùng tải.</a:t>
          </a:r>
        </a:p>
        <a:p>
          <a:r>
            <a:rPr lang="vi-VN">
              <a:effectLst/>
            </a:rPr>
            <a:t>Ưu điểm: Dễ implement, chứng minh QoS slicing (URLLC ưu tiên). Nhược điểm: ns-3 không simulate video thực (encode/stream H.264/H.265), chỉ packet flows – nên metrics là ước lượng network-level (e.g., throughput đủ cho video bitrate).</a:t>
          </a:r>
        </a:p>
        <a:p>
          <a:r>
            <a:rPr lang="vi-VN" b="1"/>
            <a:t>2. Ví dụ cụ thể cho eMBB slice (video streaming)</a:t>
          </a:r>
        </a:p>
        <a:p>
          <a:r>
            <a:rPr lang="vi-VN">
              <a:effectLst/>
            </a:rPr>
            <a:t>Để simulate video (eMBB slice) trong ns-3:</a:t>
          </a:r>
        </a:p>
        <a:p>
          <a:r>
            <a:rPr lang="vi-VN" b="1"/>
            <a:t>Cơ chế</a:t>
          </a:r>
          <a:r>
            <a:rPr lang="vi-VN"/>
            <a:t>: Sử dụng UDP packets để mimic video stream (gói lớn, interval ngắn để đạt bitrate cao như video HD/4K). Không truyền video file thật, mà generate packet sequence đại diện cho video data.</a:t>
          </a:r>
        </a:p>
        <a:p>
          <a:pPr lvl="1"/>
          <a:r>
            <a:rPr lang="vi-VN"/>
            <a:t>Bearer: NGBR_VIDEO_TCP_DEFAULT (non-guaranteed, nhưng scheduler ưu tiên bandwidth).</a:t>
          </a:r>
        </a:p>
        <a:p>
          <a:pPr lvl="1"/>
          <a:r>
            <a:rPr lang="vi-VN"/>
            <a:t>TFT: Filter port (e.g., 9001) để map flow video vào bearer này.</a:t>
          </a:r>
        </a:p>
        <a:p>
          <a:pPr lvl="1"/>
          <a:r>
            <a:rPr lang="vi-VN"/>
            <a:t>Application: UdpClient (drone → remote) cho UL video uplink (drone gửi hình ảnh), UdpServer nhận.</a:t>
          </a:r>
        </a:p>
        <a:p>
          <a:pPr lvl="1"/>
          <a:r>
            <a:rPr lang="vi-VN"/>
            <a:t>Config ví dụ (như code bạn):</a:t>
          </a:r>
        </a:p>
        <a:p>
          <a:pPr lvl="2"/>
          <a:r>
            <a:rPr lang="vi-VN"/>
            <a:t>PacketSize: 1200 bytes (đại diện frame video compressed).</a:t>
          </a:r>
        </a:p>
        <a:p>
          <a:pPr lvl="2"/>
          <a:r>
            <a:rPr lang="vi-VN"/>
            <a:t>Interval: MilliSeconds(10) → ~9.6 Mbps (gần bitrate HD video 5–10 Mbps).</a:t>
          </a:r>
        </a:p>
        <a:p>
          <a:pPr lvl="2"/>
          <a:r>
            <a:rPr lang="vi-VN"/>
            <a:t>MaxPackets: Cao để simulate stream liên tục.</a:t>
          </a:r>
        </a:p>
        <a:p>
          <a:r>
            <a:rPr lang="vi-VN" b="1"/>
            <a:t>Cách ns-3 xử lý</a:t>
          </a:r>
          <a:r>
            <a:rPr lang="vi-VN"/>
            <a:t>: Packets được gửi qua radio link, scheduler phân bổ slot dựa trên bearer QoS. Metrics (delay/loss) đo từ FlowMonitor → nếu loss cao, "video" sẽ giật/mất frame; throughput thấp → chất lượng video giảm (nhưng ns-3 không visualize video, chỉ số liệu).</a:t>
          </a:r>
        </a:p>
        <a:p>
          <a:r>
            <a:rPr lang="vi-VN" b="1"/>
            <a:t>Ví dụ so sánh với URLLC (control)</a:t>
          </a:r>
          <a:r>
            <a:rPr lang="vi-VN"/>
            <a:t>: URLLC dùng gói nhỏ (64 bytes), interval nhanh (1 ms) → delay thấp hơn, loss thấp hơn nhờ GBR bearer ưu tiên. eMBB chấp nhận delay cao hơn để ưu tiên bandwidth.</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130175</xdr:colOff>
      <xdr:row>0</xdr:row>
      <xdr:rowOff>127000</xdr:rowOff>
    </xdr:from>
    <xdr:to>
      <xdr:col>20</xdr:col>
      <xdr:colOff>434975</xdr:colOff>
      <xdr:row>10</xdr:row>
      <xdr:rowOff>82550</xdr:rowOff>
    </xdr:to>
    <xdr:graphicFrame macro="">
      <xdr:nvGraphicFramePr>
        <xdr:cNvPr id="2" name="Chart 1">
          <a:extLst>
            <a:ext uri="{FF2B5EF4-FFF2-40B4-BE49-F238E27FC236}">
              <a16:creationId xmlns:a16="http://schemas.microsoft.com/office/drawing/2014/main" id="{6F5E9155-3BEC-B220-A9D9-BECC2ECEA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92075</xdr:colOff>
      <xdr:row>11</xdr:row>
      <xdr:rowOff>12700</xdr:rowOff>
    </xdr:from>
    <xdr:to>
      <xdr:col>20</xdr:col>
      <xdr:colOff>396875</xdr:colOff>
      <xdr:row>25</xdr:row>
      <xdr:rowOff>146050</xdr:rowOff>
    </xdr:to>
    <xdr:graphicFrame macro="">
      <xdr:nvGraphicFramePr>
        <xdr:cNvPr id="3" name="Chart 2">
          <a:extLst>
            <a:ext uri="{FF2B5EF4-FFF2-40B4-BE49-F238E27FC236}">
              <a16:creationId xmlns:a16="http://schemas.microsoft.com/office/drawing/2014/main" id="{48A44B8B-1E92-A435-75D8-8D1D7018D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120055</xdr:colOff>
      <xdr:row>0</xdr:row>
      <xdr:rowOff>136526</xdr:rowOff>
    </xdr:from>
    <xdr:to>
      <xdr:col>28</xdr:col>
      <xdr:colOff>455414</xdr:colOff>
      <xdr:row>10</xdr:row>
      <xdr:rowOff>71835</xdr:rowOff>
    </xdr:to>
    <xdr:graphicFrame macro="">
      <xdr:nvGraphicFramePr>
        <xdr:cNvPr id="4" name="Chart 3">
          <a:extLst>
            <a:ext uri="{FF2B5EF4-FFF2-40B4-BE49-F238E27FC236}">
              <a16:creationId xmlns:a16="http://schemas.microsoft.com/office/drawing/2014/main" id="{2A0FA470-369F-5F8B-25F9-FCB902963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189509</xdr:colOff>
      <xdr:row>11</xdr:row>
      <xdr:rowOff>116681</xdr:rowOff>
    </xdr:from>
    <xdr:to>
      <xdr:col>28</xdr:col>
      <xdr:colOff>524868</xdr:colOff>
      <xdr:row>26</xdr:row>
      <xdr:rowOff>2381</xdr:rowOff>
    </xdr:to>
    <xdr:graphicFrame macro="">
      <xdr:nvGraphicFramePr>
        <xdr:cNvPr id="5" name="Chart 4">
          <a:extLst>
            <a:ext uri="{FF2B5EF4-FFF2-40B4-BE49-F238E27FC236}">
              <a16:creationId xmlns:a16="http://schemas.microsoft.com/office/drawing/2014/main" id="{495018EC-8441-3C44-14A8-38A6F33A5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218282</xdr:colOff>
      <xdr:row>36</xdr:row>
      <xdr:rowOff>99217</xdr:rowOff>
    </xdr:from>
    <xdr:to>
      <xdr:col>25</xdr:col>
      <xdr:colOff>327423</xdr:colOff>
      <xdr:row>37</xdr:row>
      <xdr:rowOff>1031874</xdr:rowOff>
    </xdr:to>
    <xdr:sp macro="" textlink="">
      <xdr:nvSpPr>
        <xdr:cNvPr id="7" name="TextBox 6">
          <a:extLst>
            <a:ext uri="{FF2B5EF4-FFF2-40B4-BE49-F238E27FC236}">
              <a16:creationId xmlns:a16="http://schemas.microsoft.com/office/drawing/2014/main" id="{3F9CB6E3-7571-38C4-F1FF-B12EC6B1E0B1}"/>
            </a:ext>
          </a:extLst>
        </xdr:cNvPr>
        <xdr:cNvSpPr txBox="1"/>
      </xdr:nvSpPr>
      <xdr:spPr>
        <a:xfrm>
          <a:off x="8850313" y="9892108"/>
          <a:ext cx="7977188" cy="2956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"Kết quả cho thấy mmWave 28 GHz thể hiện hiệu suất xuất sắc ở tốc độ thấp (delay &lt;1 ms, loss gần 0%), nhưng xuất hiện các khoảng outage nghiêm trọng (packet loss lên đến 96%) tại một số mức tốc độ cụ thể (15, 20, 35, 45 m/s) do hiệu ứng Doppler gây misalignment beamforming. Ngược lại, Sub-6 GHz duy trì ổn định hơn với packet loss trung bình 14–16%, phù hợp hơn cho các kịch bản UAV tốc độ cao, dù độ trễ cao hơn đáng kể."</a:t>
          </a:r>
          <a:endParaRPr lang="en-US" sz="1100"/>
        </a:p>
        <a:p>
          <a:r>
            <a:rPr lang="vi-VN">
              <a:effectLst/>
            </a:rPr>
            <a:t>Kết quả mô phỏng cho thấy băng tần mmWave 28 GHz mang lại hiệu suất vượt trội về độ trễ (dưới 1–2 ms), jitter thấp và packet loss gần 0% ở tốc độ UAV thấp đến trung bình (0–10 m/s và một số mức 25–40 m/s). Tuy nhiên, khi tốc độ tăng cao, hiệu ứng Doppler gây ra các khoảng outage nghiêm trọng với packet loss lên đến 96% tại các mức tốc độ cụ thể (15, 20, 35, 45 m/s), xuất phát từ sự giảm mạnh coherence time và khó khăn trong việc theo dõi beamforming.</a:t>
          </a:r>
        </a:p>
        <a:p>
          <a:r>
            <a:rPr lang="vi-VN">
              <a:effectLst/>
            </a:rPr>
            <a:t>Ngược lại, băng tần Sub-6 GHz thể hiện tính ổn định cao hơn, với packet loss dao động trong khoảng 13–16% và không xuất hiện outage đột ngột, dù độ trễ trung bình cao hơn đáng kể (khoảng 18–23 ms).</a:t>
          </a:r>
        </a:p>
        <a:p>
          <a:r>
            <a:rPr lang="vi-VN">
              <a:effectLst/>
            </a:rPr>
            <a:t>Kết luận: Trong các kịch bản cứu hộ UAV yêu cầu độ tin cậy cao và độ trễ cực thấp (URLLC cho C2), mmWave chỉ phù hợp khi tốc độ UAV được kiểm soát ở mức thấp hoặc khi có cơ chế beam tracking tiên tiến. Đối với UAV tốc độ cao (&gt;20–30 m/s), Sub-6 GHz là lựa chọn đáng tin cậy hơn, dù phải đánh đổi về độ trễ và throughput.</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130175</xdr:colOff>
      <xdr:row>0</xdr:row>
      <xdr:rowOff>127000</xdr:rowOff>
    </xdr:from>
    <xdr:to>
      <xdr:col>20</xdr:col>
      <xdr:colOff>434975</xdr:colOff>
      <xdr:row>10</xdr:row>
      <xdr:rowOff>82550</xdr:rowOff>
    </xdr:to>
    <xdr:graphicFrame macro="">
      <xdr:nvGraphicFramePr>
        <xdr:cNvPr id="2" name="Chart 1">
          <a:extLst>
            <a:ext uri="{FF2B5EF4-FFF2-40B4-BE49-F238E27FC236}">
              <a16:creationId xmlns:a16="http://schemas.microsoft.com/office/drawing/2014/main" id="{23315E0A-8921-4D7E-A57A-09EE27BE0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92075</xdr:colOff>
      <xdr:row>13</xdr:row>
      <xdr:rowOff>12700</xdr:rowOff>
    </xdr:from>
    <xdr:to>
      <xdr:col>20</xdr:col>
      <xdr:colOff>396875</xdr:colOff>
      <xdr:row>27</xdr:row>
      <xdr:rowOff>146050</xdr:rowOff>
    </xdr:to>
    <xdr:graphicFrame macro="">
      <xdr:nvGraphicFramePr>
        <xdr:cNvPr id="3" name="Chart 2">
          <a:extLst>
            <a:ext uri="{FF2B5EF4-FFF2-40B4-BE49-F238E27FC236}">
              <a16:creationId xmlns:a16="http://schemas.microsoft.com/office/drawing/2014/main" id="{2138E891-2C78-4015-AB25-AEC1DDD04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120055</xdr:colOff>
      <xdr:row>0</xdr:row>
      <xdr:rowOff>136526</xdr:rowOff>
    </xdr:from>
    <xdr:to>
      <xdr:col>28</xdr:col>
      <xdr:colOff>455414</xdr:colOff>
      <xdr:row>10</xdr:row>
      <xdr:rowOff>71835</xdr:rowOff>
    </xdr:to>
    <xdr:graphicFrame macro="">
      <xdr:nvGraphicFramePr>
        <xdr:cNvPr id="4" name="Chart 3">
          <a:extLst>
            <a:ext uri="{FF2B5EF4-FFF2-40B4-BE49-F238E27FC236}">
              <a16:creationId xmlns:a16="http://schemas.microsoft.com/office/drawing/2014/main" id="{B30F1B64-E96E-45CB-9E16-B6EBBAA67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189509</xdr:colOff>
      <xdr:row>13</xdr:row>
      <xdr:rowOff>116681</xdr:rowOff>
    </xdr:from>
    <xdr:to>
      <xdr:col>28</xdr:col>
      <xdr:colOff>524868</xdr:colOff>
      <xdr:row>28</xdr:row>
      <xdr:rowOff>2381</xdr:rowOff>
    </xdr:to>
    <xdr:graphicFrame macro="">
      <xdr:nvGraphicFramePr>
        <xdr:cNvPr id="5" name="Chart 4">
          <a:extLst>
            <a:ext uri="{FF2B5EF4-FFF2-40B4-BE49-F238E27FC236}">
              <a16:creationId xmlns:a16="http://schemas.microsoft.com/office/drawing/2014/main" id="{C1C12677-5394-443F-A7AB-4266FFDAF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317500</xdr:colOff>
      <xdr:row>18</xdr:row>
      <xdr:rowOff>79374</xdr:rowOff>
    </xdr:from>
    <xdr:to>
      <xdr:col>9</xdr:col>
      <xdr:colOff>287735</xdr:colOff>
      <xdr:row>31</xdr:row>
      <xdr:rowOff>79374</xdr:rowOff>
    </xdr:to>
    <xdr:sp macro="" textlink="">
      <xdr:nvSpPr>
        <xdr:cNvPr id="6" name="TextBox 5">
          <a:extLst>
            <a:ext uri="{FF2B5EF4-FFF2-40B4-BE49-F238E27FC236}">
              <a16:creationId xmlns:a16="http://schemas.microsoft.com/office/drawing/2014/main" id="{6FC222C3-62CB-71A0-8E42-0AB5BD15F46B}"/>
            </a:ext>
          </a:extLst>
        </xdr:cNvPr>
        <xdr:cNvSpPr txBox="1"/>
      </xdr:nvSpPr>
      <xdr:spPr>
        <a:xfrm>
          <a:off x="317500" y="4514452"/>
          <a:ext cx="5417344" cy="24507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effectLst/>
            </a:rPr>
            <a:t>Kết quả mô phỏng cho thấy ở băng tần </a:t>
          </a:r>
          <a:r>
            <a:rPr lang="vi-VN" b="1">
              <a:effectLst/>
            </a:rPr>
            <a:t>mmWave 28 GHz</a:t>
          </a:r>
          <a:r>
            <a:rPr lang="vi-VN">
              <a:effectLst/>
            </a:rPr>
            <a:t>, hiệu suất liên kết rất tốt ở độ cao thấp (1.5–10m) và một số mức trung bình (50–80m) với độ trễ dưới 1 ms, jitter thấp và packet loss gần 0%. Tuy nhiên, khi độ cao tăng (20–40m), pathloss và góc nâng lớn dẫn đến outage nghiêm trọng (loss 49–82%), throughput giảm mạnh xuống dưới 1 Mbps. Ở độ cao rất cao (&gt;100m), link gần như mất hoàn toàn (loss ~99.99%, throughput = 0).</a:t>
          </a:r>
        </a:p>
        <a:p>
          <a:r>
            <a:rPr lang="vi-VN">
              <a:effectLst/>
            </a:rPr>
            <a:t>Ngược lại, </a:t>
          </a:r>
          <a:r>
            <a:rPr lang="vi-VN" b="1">
              <a:effectLst/>
            </a:rPr>
            <a:t>Sub-6 GHz</a:t>
          </a:r>
          <a:r>
            <a:rPr lang="vi-VN">
              <a:effectLst/>
            </a:rPr>
            <a:t> duy trì ổn định tốt hơn ở hầu hết các độ cao, với packet loss chỉ khoảng 0–0.01% (trừ điểm 40m có outage tạm thời ~43%), độ trễ trung bình 1–3 ms và throughput ổn định ~1.85 Mbps. Sub-6 ít bị ảnh hưởng bởi pathloss ở độ cao lớn nhờ tần số thấp hơn và khả năng xuyên vật cản tốt hơn.</a:t>
          </a:r>
        </a:p>
        <a:p>
          <a:r>
            <a:rPr lang="vi-VN">
              <a:effectLst/>
            </a:rPr>
            <a:t>Kết luận: mmWave phù hợp cho UAV hoạt động ở độ cao thấp/trung bình với yêu cầu latency cực thấp (URLLC C2), nhưng không đáng tin cậy ở độ cao lớn. Sub-6 GHz là lựa chọn an toàn hơn cho các kịch bản cứu hộ UAV ở độ cao đa dạng.</a:t>
          </a:r>
        </a:p>
        <a:p>
          <a:endParaRPr lang="en-US" sz="1100"/>
        </a:p>
      </xdr:txBody>
    </xdr:sp>
    <xdr:clientData/>
  </xdr:twoCellAnchor>
  <xdr:twoCellAnchor>
    <xdr:from>
      <xdr:col>13</xdr:col>
      <xdr:colOff>89297</xdr:colOff>
      <xdr:row>33</xdr:row>
      <xdr:rowOff>39687</xdr:rowOff>
    </xdr:from>
    <xdr:to>
      <xdr:col>27</xdr:col>
      <xdr:colOff>525860</xdr:colOff>
      <xdr:row>35</xdr:row>
      <xdr:rowOff>138907</xdr:rowOff>
    </xdr:to>
    <xdr:sp macro="" textlink="">
      <xdr:nvSpPr>
        <xdr:cNvPr id="7" name="TextBox 6">
          <a:extLst>
            <a:ext uri="{FF2B5EF4-FFF2-40B4-BE49-F238E27FC236}">
              <a16:creationId xmlns:a16="http://schemas.microsoft.com/office/drawing/2014/main" id="{5DA82DF7-9A31-9758-17A6-C35D6C7FCB07}"/>
            </a:ext>
          </a:extLst>
        </xdr:cNvPr>
        <xdr:cNvSpPr txBox="1"/>
      </xdr:nvSpPr>
      <xdr:spPr>
        <a:xfrm>
          <a:off x="7957344" y="7302500"/>
          <a:ext cx="8909844" cy="2500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effectLst/>
            </a:rPr>
            <a:t>Kết quả mô phỏng về tác động của độ cao UAV cho thấy băng tần </a:t>
          </a:r>
          <a:r>
            <a:rPr lang="vi-VN" b="1">
              <a:effectLst/>
            </a:rPr>
            <a:t>mmWave 28 GHz</a:t>
          </a:r>
          <a:r>
            <a:rPr lang="vi-VN">
              <a:effectLst/>
            </a:rPr>
            <a:t> đạt hiệu suất vượt trội ở độ cao thấp (1.5–10 m) và một số mức trung bình (50–80 m) với độ trễ dưới 1 ms, jitter thấp và packet loss gần 0%. Tuy nhiên, khi độ cao tăng lên 20–40 m, pathloss tăng mạnh kết hợp với góc nâng lớn dẫn đến outage nghiêm trọng (packet loss 49–82%), throughput giảm mạnh. Ở độ cao rất cao (&gt;100 m), liên kết gần như mất hoàn toàn (loss ~99.99%, throughput = 0), thể hiện sự nhạy cảm cao của mmWave với khoảng cách và môi trường không gian mở.</a:t>
          </a:r>
        </a:p>
        <a:p>
          <a:r>
            <a:rPr lang="vi-VN">
              <a:effectLst/>
            </a:rPr>
            <a:t>Ngược lại, </a:t>
          </a:r>
          <a:r>
            <a:rPr lang="vi-VN" b="1">
              <a:effectLst/>
            </a:rPr>
            <a:t>Sub-6 GHz</a:t>
          </a:r>
          <a:r>
            <a:rPr lang="vi-VN">
              <a:effectLst/>
            </a:rPr>
            <a:t> duy trì hiệu suất ổn định ở hầu hết các độ cao, với packet loss chỉ khoảng 0–0.01% (trừ một điểm outage tạm thời tại 40 m), độ trễ trung bình 1–3 ms và throughput ổn định. Điều này xuất phát từ tần số thấp hơn giúp giảm pathloss và ít bị ảnh hưởng bởi góc nâng.</a:t>
          </a:r>
        </a:p>
        <a:p>
          <a:r>
            <a:rPr lang="vi-VN">
              <a:effectLst/>
            </a:rPr>
            <a:t>Kết luận: Trong các ứng dụng cứu hộ UAV yêu cầu độ trễ cực thấp và độ tin cậy cao (URLLC cho C2), mmWave chỉ phù hợp khi UAV hoạt động ở độ cao thấp đến trung bình. Đối với các kịch bản cần hoạt động ở độ cao lớn và đa dạng, Sub-6 GHz là lựa chọn đáng tin cậy và an toàn hơn, dù phải chấp nhận độ trễ cao hơn một chút.</a:t>
          </a:r>
        </a:p>
        <a:p>
          <a:endParaRPr lang="en-US" sz="1100"/>
        </a:p>
      </xdr:txBody>
    </xdr:sp>
    <xdr:clientData/>
  </xdr:twoCellAnchor>
  <xdr:twoCellAnchor editAs="oneCell">
    <xdr:from>
      <xdr:col>15</xdr:col>
      <xdr:colOff>158750</xdr:colOff>
      <xdr:row>35</xdr:row>
      <xdr:rowOff>287737</xdr:rowOff>
    </xdr:from>
    <xdr:to>
      <xdr:col>20</xdr:col>
      <xdr:colOff>553093</xdr:colOff>
      <xdr:row>77</xdr:row>
      <xdr:rowOff>61265</xdr:rowOff>
    </xdr:to>
    <xdr:pic>
      <xdr:nvPicPr>
        <xdr:cNvPr id="8" name="Picture 7">
          <a:extLst>
            <a:ext uri="{FF2B5EF4-FFF2-40B4-BE49-F238E27FC236}">
              <a16:creationId xmlns:a16="http://schemas.microsoft.com/office/drawing/2014/main" id="{6F3B41DC-7368-6FB0-99DD-F935F8D5C5C9}"/>
            </a:ext>
          </a:extLst>
        </xdr:cNvPr>
        <xdr:cNvPicPr>
          <a:picLocks noChangeAspect="1"/>
        </xdr:cNvPicPr>
      </xdr:nvPicPr>
      <xdr:blipFill>
        <a:blip xmlns:r="http://schemas.openxmlformats.org/officeDocument/2006/relationships" r:embed="rId5"/>
        <a:stretch>
          <a:fillRect/>
        </a:stretch>
      </xdr:blipFill>
      <xdr:spPr>
        <a:xfrm>
          <a:off x="9237266" y="9951643"/>
          <a:ext cx="3420515" cy="1577751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15</xdr:col>
      <xdr:colOff>297655</xdr:colOff>
      <xdr:row>0</xdr:row>
      <xdr:rowOff>127000</xdr:rowOff>
    </xdr:from>
    <xdr:to>
      <xdr:col>22</xdr:col>
      <xdr:colOff>434974</xdr:colOff>
      <xdr:row>11</xdr:row>
      <xdr:rowOff>168672</xdr:rowOff>
    </xdr:to>
    <xdr:graphicFrame macro="">
      <xdr:nvGraphicFramePr>
        <xdr:cNvPr id="2" name="Chart 1">
          <a:extLst>
            <a:ext uri="{FF2B5EF4-FFF2-40B4-BE49-F238E27FC236}">
              <a16:creationId xmlns:a16="http://schemas.microsoft.com/office/drawing/2014/main" id="{A4F69C96-A58A-47A5-AFD8-B66669DCA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270670</xdr:colOff>
      <xdr:row>11</xdr:row>
      <xdr:rowOff>634999</xdr:rowOff>
    </xdr:from>
    <xdr:to>
      <xdr:col>22</xdr:col>
      <xdr:colOff>575470</xdr:colOff>
      <xdr:row>24</xdr:row>
      <xdr:rowOff>69453</xdr:rowOff>
    </xdr:to>
    <xdr:graphicFrame macro="">
      <xdr:nvGraphicFramePr>
        <xdr:cNvPr id="3" name="Chart 2">
          <a:extLst>
            <a:ext uri="{FF2B5EF4-FFF2-40B4-BE49-F238E27FC236}">
              <a16:creationId xmlns:a16="http://schemas.microsoft.com/office/drawing/2014/main" id="{82CFCA66-0936-4525-8BF0-6901FF7BA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120055</xdr:colOff>
      <xdr:row>0</xdr:row>
      <xdr:rowOff>136526</xdr:rowOff>
    </xdr:from>
    <xdr:to>
      <xdr:col>30</xdr:col>
      <xdr:colOff>455414</xdr:colOff>
      <xdr:row>11</xdr:row>
      <xdr:rowOff>69453</xdr:rowOff>
    </xdr:to>
    <xdr:graphicFrame macro="">
      <xdr:nvGraphicFramePr>
        <xdr:cNvPr id="4" name="Chart 3">
          <a:extLst>
            <a:ext uri="{FF2B5EF4-FFF2-40B4-BE49-F238E27FC236}">
              <a16:creationId xmlns:a16="http://schemas.microsoft.com/office/drawing/2014/main" id="{C29B6709-E2D7-4D44-A017-254EE3431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426641</xdr:colOff>
      <xdr:row>11</xdr:row>
      <xdr:rowOff>664765</xdr:rowOff>
    </xdr:from>
    <xdr:to>
      <xdr:col>31</xdr:col>
      <xdr:colOff>118071</xdr:colOff>
      <xdr:row>24</xdr:row>
      <xdr:rowOff>49609</xdr:rowOff>
    </xdr:to>
    <xdr:graphicFrame macro="">
      <xdr:nvGraphicFramePr>
        <xdr:cNvPr id="5" name="Chart 4">
          <a:extLst>
            <a:ext uri="{FF2B5EF4-FFF2-40B4-BE49-F238E27FC236}">
              <a16:creationId xmlns:a16="http://schemas.microsoft.com/office/drawing/2014/main" id="{6D001042-B2B8-450B-83B3-89A5F9292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1</xdr:rowOff>
    </xdr:from>
    <xdr:to>
      <xdr:col>13</xdr:col>
      <xdr:colOff>426641</xdr:colOff>
      <xdr:row>65</xdr:row>
      <xdr:rowOff>69454</xdr:rowOff>
    </xdr:to>
    <xdr:sp macro="" textlink="">
      <xdr:nvSpPr>
        <xdr:cNvPr id="7" name="TextBox 6">
          <a:extLst>
            <a:ext uri="{FF2B5EF4-FFF2-40B4-BE49-F238E27FC236}">
              <a16:creationId xmlns:a16="http://schemas.microsoft.com/office/drawing/2014/main" id="{124192FA-CE84-FBF3-72C4-8A2CBCB08079}"/>
            </a:ext>
          </a:extLst>
        </xdr:cNvPr>
        <xdr:cNvSpPr txBox="1"/>
      </xdr:nvSpPr>
      <xdr:spPr>
        <a:xfrm>
          <a:off x="0" y="9872267"/>
          <a:ext cx="8294688" cy="45938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b="1"/>
            <a:t>1. 36 dBm là mức “trung bình cao” – đại diện tốt cho điều kiện thực tế</a:t>
          </a:r>
        </a:p>
        <a:p>
          <a:r>
            <a:rPr lang="vi-VN"/>
            <a:t>Trong sweep của bạn, gNB TxPower được thử từ 30 đến 40 dBm.</a:t>
          </a:r>
        </a:p>
        <a:p>
          <a:r>
            <a:rPr lang="vi-VN" b="1"/>
            <a:t>30–32 dBm</a:t>
          </a:r>
          <a:r>
            <a:rPr lang="vi-VN"/>
            <a:t>: Là mức thấp → outage nặng ở cả hai băng tần (đặc biệt mmWave).</a:t>
          </a:r>
        </a:p>
        <a:p>
          <a:r>
            <a:rPr lang="vi-VN" b="1"/>
            <a:t>38–40 dBm</a:t>
          </a:r>
          <a:r>
            <a:rPr lang="vi-VN"/>
            <a:t>: Là mức cao nhất → hiệu suất tốt ở cả hai băng tần (loss thấp, throughput cao).</a:t>
          </a:r>
        </a:p>
        <a:p>
          <a:r>
            <a:rPr lang="vi-VN" b="1"/>
            <a:t>36 dBm</a:t>
          </a:r>
          <a:r>
            <a:rPr lang="vi-VN"/>
            <a:t>: Nằm </a:t>
          </a:r>
          <a:r>
            <a:rPr lang="vi-VN" b="1"/>
            <a:t>giữa khoảng</a:t>
          </a:r>
          <a:r>
            <a:rPr lang="vi-VN"/>
            <a:t> (mid-high) → đủ cao để hệ thống hoạt động tốt ở điều kiện bình thường, nhưng vẫn cho thấy sự khác biệt rõ rệt khi giảm UE TxPower.</a:t>
          </a:r>
        </a:p>
        <a:p>
          <a:r>
            <a:rPr lang="vi-VN">
              <a:effectLst/>
            </a:rPr>
            <a:t>→ Khi fixed gNB ở mức này, biểu đồ sẽ thể hiện rõ </a:t>
          </a:r>
          <a:r>
            <a:rPr lang="vi-VN" b="1">
              <a:effectLst/>
            </a:rPr>
            <a:t>ảnh hưởng của UE TxPower</a:t>
          </a:r>
          <a:r>
            <a:rPr lang="vi-VN">
              <a:effectLst/>
            </a:rPr>
            <a:t> (drone pin yếu) mà không bị “che lấp” bởi gNB power quá thấp hoặc quá cao.</a:t>
          </a:r>
        </a:p>
        <a:p>
          <a:r>
            <a:rPr lang="vi-VN" b="1"/>
            <a:t>2. Thể hiện rõ sự khác biệt giữa mmWave và sub-6 GHz</a:t>
          </a:r>
        </a:p>
        <a:p>
          <a:r>
            <a:rPr lang="vi-VN"/>
            <a:t>Với gNB = 36 dBm:</a:t>
          </a:r>
        </a:p>
        <a:p>
          <a:pPr lvl="1"/>
          <a:r>
            <a:rPr lang="vi-VN" b="1"/>
            <a:t>mmWave</a:t>
          </a:r>
          <a:r>
            <a:rPr lang="vi-VN"/>
            <a:t>: Loss tăng mạnh từ ~11% (UE 26 dBm) → 55% (UE 26 ở một số điểm) → &gt;93% (UE 22 và 20 dBm). Delay spike cao (15–62 ms).</a:t>
          </a:r>
        </a:p>
        <a:p>
          <a:pPr lvl="1"/>
          <a:r>
            <a:rPr lang="vi-VN" b="1"/>
            <a:t>sub-6 GHz</a:t>
          </a:r>
          <a:r>
            <a:rPr lang="vi-VN"/>
            <a:t>: Loss gần như không đổi ~13–14% trên toàn dải UE TxPower.</a:t>
          </a:r>
        </a:p>
        <a:p>
          <a:r>
            <a:rPr lang="vi-VN">
              <a:effectLst/>
            </a:rPr>
            <a:t>→ </a:t>
          </a:r>
          <a:r>
            <a:rPr lang="vi-VN" b="1">
              <a:effectLst/>
            </a:rPr>
            <a:t>Đường biểu đồ mmWave đi lên vọt</a:t>
          </a:r>
          <a:r>
            <a:rPr lang="vi-VN">
              <a:effectLst/>
            </a:rPr>
            <a:t> (loss tăng đột ngột), </a:t>
          </a:r>
          <a:r>
            <a:rPr lang="vi-VN" b="1">
              <a:effectLst/>
            </a:rPr>
            <a:t>sub-6 gần như phẳng</a:t>
          </a:r>
          <a:r>
            <a:rPr lang="vi-VN">
              <a:effectLst/>
            </a:rPr>
            <a:t> → trực quan nhất để chứng minh mmWave nhạy cảm hơn rất nhiều với công suất UE.</a:t>
          </a:r>
        </a:p>
        <a:p>
          <a:r>
            <a:rPr lang="vi-VN">
              <a:effectLst/>
            </a:rPr>
            <a:t>Nếu chọn gNB quá thấp (30 dBm): Cả hai băng tần đều kém → khó thấy sự khác biệt. Nếu chọn gNB quá cao (40 dBm): mmWave vẫn tốt ở UE thấp hơn → làm giảm độ tương phản.</a:t>
          </a:r>
        </a:p>
        <a:p>
          <a:r>
            <a:rPr lang="vi-VN" b="1"/>
            <a:t>3. Phù hợp thực tế kỹ thuật 5G NR</a:t>
          </a:r>
        </a:p>
        <a:p>
          <a:r>
            <a:rPr lang="vi-VN"/>
            <a:t>Công suất gNB thực tế trong 5G:</a:t>
          </a:r>
        </a:p>
        <a:p>
          <a:pPr lvl="1"/>
          <a:r>
            <a:rPr lang="vi-VN"/>
            <a:t>Macro gNB: thường 30–46 dBm (tùy băng tần và quốc gia).</a:t>
          </a:r>
        </a:p>
        <a:p>
          <a:pPr lvl="1"/>
          <a:r>
            <a:rPr lang="vi-VN"/>
            <a:t>mmWave small cell/private network: thường 35–40 dBm.</a:t>
          </a:r>
        </a:p>
        <a:p>
          <a:r>
            <a:rPr lang="vi-VN"/>
            <a:t>36 dBm là mức </a:t>
          </a:r>
          <a:r>
            <a:rPr lang="vi-VN" b="1"/>
            <a:t>thực tế phổ biến</a:t>
          </a:r>
          <a:r>
            <a:rPr lang="vi-VN"/>
            <a:t> cho private network/emergency deployment (không quá cao để tránh nhiễu, nhưng đủ phủ sóng).</a:t>
          </a:r>
        </a:p>
        <a:p>
          <a:endParaRPr lang="en-US" sz="1100"/>
        </a:p>
      </xdr:txBody>
    </xdr:sp>
    <xdr:clientData/>
  </xdr:twoCellAnchor>
  <xdr:twoCellAnchor>
    <xdr:from>
      <xdr:col>13</xdr:col>
      <xdr:colOff>277812</xdr:colOff>
      <xdr:row>68</xdr:row>
      <xdr:rowOff>873125</xdr:rowOff>
    </xdr:from>
    <xdr:to>
      <xdr:col>27</xdr:col>
      <xdr:colOff>267891</xdr:colOff>
      <xdr:row>69</xdr:row>
      <xdr:rowOff>2530078</xdr:rowOff>
    </xdr:to>
    <xdr:sp macro="" textlink="">
      <xdr:nvSpPr>
        <xdr:cNvPr id="6" name="TextBox 5">
          <a:extLst>
            <a:ext uri="{FF2B5EF4-FFF2-40B4-BE49-F238E27FC236}">
              <a16:creationId xmlns:a16="http://schemas.microsoft.com/office/drawing/2014/main" id="{CBE26A86-8979-5038-9C65-84D2FDB831F9}"/>
            </a:ext>
          </a:extLst>
        </xdr:cNvPr>
        <xdr:cNvSpPr txBox="1"/>
      </xdr:nvSpPr>
      <xdr:spPr>
        <a:xfrm>
          <a:off x="8145859" y="15835313"/>
          <a:ext cx="8463360" cy="2579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a:effectLst/>
            </a:rPr>
            <a:t>Kết quả mô phỏng với gNB TxPower cố định ở 36 dBm cho thấy băng tần </a:t>
          </a:r>
          <a:r>
            <a:rPr lang="vi-VN" b="1">
              <a:effectLst/>
            </a:rPr>
            <a:t>mmWave 28 GHz</a:t>
          </a:r>
          <a:r>
            <a:rPr lang="vi-VN">
              <a:effectLst/>
            </a:rPr>
            <a:t> rất nhạy cảm với công suất phát của UE (UAV). Khi UE TxPower ở mức thấp (20–22 dBm), uplink bị suy giảm nghiêm trọng dẫn đến packet loss cao (lên đến </a:t>
          </a:r>
          <a:r>
            <a:rPr lang="en-US">
              <a:effectLst/>
            </a:rPr>
            <a:t>7</a:t>
          </a:r>
          <a:r>
            <a:rPr lang="vi-VN">
              <a:effectLst/>
            </a:rPr>
            <a:t>3.9%), độ trễ tăng vọt (15–63 ms) và throughput giảm. Việc tăng UE TxPower lên 24–26 dBm giúp cải thiện một phần (loss giảm xuống ~55–66%), nhưng vẫn chưa đạt độ tin cậy cao. Điều này xuất phát từ pathloss lớn ở tần số cao và yêu cầu SINR nghiêm ngặt cho beamforming uplink.</a:t>
          </a:r>
        </a:p>
        <a:p>
          <a:r>
            <a:rPr lang="vi-VN">
              <a:effectLst/>
            </a:rPr>
            <a:t>Ngược lại, </a:t>
          </a:r>
          <a:r>
            <a:rPr lang="vi-VN" b="1">
              <a:effectLst/>
            </a:rPr>
            <a:t>Sub-6 GHz</a:t>
          </a:r>
          <a:r>
            <a:rPr lang="vi-VN">
              <a:effectLst/>
            </a:rPr>
            <a:t> duy trì hiệu suất hoàn toàn ổn định ở mọi mức UE TxPower (delay ~8.6 ms, loss ~13.86%, throughput ~8.74 Mbps), chứng tỏ băng tần này có margin công suất lớn hơn và ít phụ thuộc vào TxPower UE.</a:t>
          </a:r>
        </a:p>
        <a:p>
          <a:r>
            <a:rPr lang="vi-VN">
              <a:effectLst/>
            </a:rPr>
            <a:t>Kết luận: Trong các ứng dụng cứu hộ UAV với công suất phát hạn chế (thường 23–26 dBm theo chuẩn 3GPP), </a:t>
          </a:r>
          <a:r>
            <a:rPr lang="vi-VN" b="1">
              <a:effectLst/>
            </a:rPr>
            <a:t>mmWave gặp thách thức lớn về độ tin cậy uplink</a:t>
          </a:r>
          <a:r>
            <a:rPr lang="vi-VN">
              <a:effectLst/>
            </a:rPr>
            <a:t> và chỉ phù hợp khi UAV được trang bị công suất phát cao hơn hoặc có cơ chế bù đắp uplink tiên tiến. </a:t>
          </a:r>
          <a:r>
            <a:rPr lang="vi-VN" b="1">
              <a:effectLst/>
            </a:rPr>
            <a:t>Sub-6 GHz</a:t>
          </a:r>
          <a:r>
            <a:rPr lang="vi-VN">
              <a:effectLst/>
            </a:rPr>
            <a:t> là lựa chọn an toàn và đáng tin cậy hơn, đặc biệt trong điều kiện UAV có nguồn năng lượng hạn chế.</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8E1E3-2A46-430B-A712-13B26A93CF52}">
  <dimension ref="A1:E13"/>
  <sheetViews>
    <sheetView workbookViewId="0">
      <selection activeCell="J11" sqref="J11"/>
    </sheetView>
  </sheetViews>
  <sheetFormatPr defaultRowHeight="14.5" x14ac:dyDescent="0.35"/>
  <sheetData>
    <row r="1" spans="1:5" x14ac:dyDescent="0.35">
      <c r="A1" t="s">
        <v>460</v>
      </c>
      <c r="B1" t="s">
        <v>461</v>
      </c>
      <c r="C1" t="s">
        <v>462</v>
      </c>
      <c r="D1" t="s">
        <v>463</v>
      </c>
      <c r="E1" t="s">
        <v>464</v>
      </c>
    </row>
    <row r="2" spans="1:5" x14ac:dyDescent="0.35">
      <c r="A2" t="s">
        <v>465</v>
      </c>
      <c r="B2" t="s">
        <v>466</v>
      </c>
      <c r="C2" t="s">
        <v>467</v>
      </c>
      <c r="D2" t="s">
        <v>468</v>
      </c>
      <c r="E2" t="s">
        <v>469</v>
      </c>
    </row>
    <row r="3" spans="1:5" x14ac:dyDescent="0.35">
      <c r="A3" t="s">
        <v>470</v>
      </c>
      <c r="B3" t="s">
        <v>465</v>
      </c>
      <c r="C3" t="s">
        <v>465</v>
      </c>
      <c r="D3" t="s">
        <v>471</v>
      </c>
      <c r="E3" t="s">
        <v>465</v>
      </c>
    </row>
    <row r="4" spans="1:5" x14ac:dyDescent="0.35">
      <c r="A4" t="s">
        <v>472</v>
      </c>
      <c r="B4" t="s">
        <v>473</v>
      </c>
      <c r="C4" t="s">
        <v>474</v>
      </c>
      <c r="D4" t="s">
        <v>475</v>
      </c>
      <c r="E4" t="s">
        <v>476</v>
      </c>
    </row>
    <row r="5" spans="1:5" x14ac:dyDescent="0.35">
      <c r="A5" t="s">
        <v>477</v>
      </c>
      <c r="B5" t="s">
        <v>465</v>
      </c>
      <c r="C5" t="s">
        <v>465</v>
      </c>
      <c r="D5" t="s">
        <v>471</v>
      </c>
      <c r="E5" t="s">
        <v>465</v>
      </c>
    </row>
    <row r="6" spans="1:5" x14ac:dyDescent="0.35">
      <c r="A6" t="s">
        <v>478</v>
      </c>
      <c r="B6" t="s">
        <v>479</v>
      </c>
      <c r="C6" t="s">
        <v>480</v>
      </c>
      <c r="D6" t="s">
        <v>481</v>
      </c>
      <c r="E6" t="s">
        <v>482</v>
      </c>
    </row>
    <row r="7" spans="1:5" x14ac:dyDescent="0.35">
      <c r="A7" t="s">
        <v>483</v>
      </c>
      <c r="B7" t="s">
        <v>484</v>
      </c>
      <c r="C7" t="s">
        <v>485</v>
      </c>
      <c r="D7" t="s">
        <v>475</v>
      </c>
      <c r="E7" t="s">
        <v>476</v>
      </c>
    </row>
    <row r="8" spans="1:5" x14ac:dyDescent="0.35">
      <c r="A8" t="s">
        <v>486</v>
      </c>
      <c r="B8" t="s">
        <v>487</v>
      </c>
      <c r="C8" t="s">
        <v>488</v>
      </c>
      <c r="D8" t="s">
        <v>489</v>
      </c>
      <c r="E8" t="s">
        <v>490</v>
      </c>
    </row>
    <row r="9" spans="1:5" x14ac:dyDescent="0.35">
      <c r="A9" t="s">
        <v>491</v>
      </c>
      <c r="B9" t="s">
        <v>492</v>
      </c>
      <c r="C9" t="s">
        <v>493</v>
      </c>
      <c r="D9" t="s">
        <v>494</v>
      </c>
      <c r="E9" t="s">
        <v>495</v>
      </c>
    </row>
    <row r="10" spans="1:5" x14ac:dyDescent="0.35">
      <c r="A10" t="s">
        <v>496</v>
      </c>
      <c r="B10" t="s">
        <v>497</v>
      </c>
      <c r="C10" t="s">
        <v>498</v>
      </c>
      <c r="D10" t="s">
        <v>475</v>
      </c>
      <c r="E10" t="s">
        <v>476</v>
      </c>
    </row>
    <row r="11" spans="1:5" x14ac:dyDescent="0.35">
      <c r="A11" t="s">
        <v>499</v>
      </c>
      <c r="B11" t="s">
        <v>465</v>
      </c>
      <c r="C11" t="s">
        <v>465</v>
      </c>
      <c r="D11" t="s">
        <v>471</v>
      </c>
      <c r="E11" t="s">
        <v>465</v>
      </c>
    </row>
    <row r="12" spans="1:5" x14ac:dyDescent="0.35">
      <c r="A12" t="s">
        <v>500</v>
      </c>
      <c r="B12" t="s">
        <v>501</v>
      </c>
      <c r="C12" t="s">
        <v>502</v>
      </c>
      <c r="D12" t="s">
        <v>494</v>
      </c>
      <c r="E12" t="s">
        <v>476</v>
      </c>
    </row>
    <row r="13" spans="1:5" x14ac:dyDescent="0.35">
      <c r="A13" t="s">
        <v>471</v>
      </c>
      <c r="B13" t="s">
        <v>503</v>
      </c>
      <c r="C13" t="s">
        <v>504</v>
      </c>
      <c r="D13" t="s">
        <v>505</v>
      </c>
      <c r="E13" t="s">
        <v>495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A701F-7670-49BD-8B02-236BE95C1A29}">
  <dimension ref="A1:AI178"/>
  <sheetViews>
    <sheetView topLeftCell="J157" zoomScaleNormal="100" workbookViewId="0">
      <selection activeCell="V159" sqref="V159"/>
    </sheetView>
  </sheetViews>
  <sheetFormatPr defaultRowHeight="14.5" x14ac:dyDescent="0.35"/>
  <cols>
    <col min="19" max="19" width="13" customWidth="1"/>
    <col min="20" max="20" width="17.08984375" customWidth="1"/>
    <col min="22" max="23" width="14.6328125" customWidth="1"/>
  </cols>
  <sheetData>
    <row r="1" spans="1:17" x14ac:dyDescent="0.35">
      <c r="A1" t="s">
        <v>447</v>
      </c>
      <c r="K1" t="str" cm="1">
        <f t="array" ref="K1:Q1">_xlfn.TEXTSPLIT(A1, ",")</f>
        <v>Speed(m/s)</v>
      </c>
      <c r="L1" t="str">
        <v>AvgDelay(ms)</v>
      </c>
      <c r="M1" t="str">
        <v>Jitter(ms)</v>
      </c>
      <c r="N1" t="str">
        <v>PacketLoss(%)</v>
      </c>
      <c r="O1" t="str">
        <v>Throughput(Mbps)</v>
      </c>
      <c r="P1" t="str">
        <v>AvgSINR(dB)</v>
      </c>
      <c r="Q1" t="str">
        <v>BLER(%)</v>
      </c>
    </row>
    <row r="2" spans="1:17" x14ac:dyDescent="0.35">
      <c r="A2" t="s">
        <v>448</v>
      </c>
      <c r="K2" t="str" cm="1">
        <f t="array" ref="K2:Q2">_xlfn.TEXTSPLIT(A2, ",")</f>
        <v>0</v>
      </c>
      <c r="L2" t="str">
        <v>13.9206</v>
      </c>
      <c r="M2" t="str">
        <v>0.89818</v>
      </c>
      <c r="N2" t="str">
        <v>0.481799</v>
      </c>
      <c r="O2" t="str">
        <v>1.91924</v>
      </c>
      <c r="P2" t="str">
        <v>0</v>
      </c>
      <c r="Q2" t="str">
        <v>0.481799</v>
      </c>
    </row>
    <row r="3" spans="1:17" x14ac:dyDescent="0.35">
      <c r="A3" t="s">
        <v>449</v>
      </c>
      <c r="K3" t="str" cm="1">
        <f t="array" ref="K3:Q3">_xlfn.TEXTSPLIT(A3, ",")</f>
        <v>5</v>
      </c>
      <c r="L3" t="str">
        <v>0.000502</v>
      </c>
      <c r="M3" t="str">
        <v>0</v>
      </c>
      <c r="N3" t="str">
        <v>99.9286</v>
      </c>
      <c r="O3" t="str">
        <v>13441.7</v>
      </c>
      <c r="P3" t="str">
        <v>0</v>
      </c>
      <c r="Q3" t="str">
        <v>99.9286</v>
      </c>
    </row>
    <row r="4" spans="1:17" x14ac:dyDescent="0.35">
      <c r="A4" t="s">
        <v>450</v>
      </c>
      <c r="K4" t="str" cm="1">
        <f t="array" ref="K4:Q4">_xlfn.TEXTSPLIT(A4, ",")</f>
        <v>10</v>
      </c>
      <c r="L4" t="str">
        <v>16.8719</v>
      </c>
      <c r="M4" t="str">
        <v>0.904862</v>
      </c>
      <c r="N4" t="str">
        <v>0.624554</v>
      </c>
      <c r="O4" t="str">
        <v>1.91649</v>
      </c>
      <c r="P4" t="str">
        <v>0</v>
      </c>
      <c r="Q4" t="str">
        <v>0.624554</v>
      </c>
    </row>
    <row r="5" spans="1:17" x14ac:dyDescent="0.35">
      <c r="A5" t="s">
        <v>451</v>
      </c>
      <c r="K5" t="str" cm="1">
        <f t="array" ref="K5:Q5">_xlfn.TEXTSPLIT(A5, ",")</f>
        <v>20</v>
      </c>
      <c r="L5" t="str">
        <v>0.000502</v>
      </c>
      <c r="M5" t="str">
        <v>0</v>
      </c>
      <c r="N5" t="str">
        <v>99.9286</v>
      </c>
      <c r="O5" t="str">
        <v>13441.7</v>
      </c>
      <c r="P5" t="str">
        <v>0</v>
      </c>
      <c r="Q5" t="str">
        <v>99.9286</v>
      </c>
    </row>
    <row r="6" spans="1:17" x14ac:dyDescent="0.35">
      <c r="A6" t="s">
        <v>452</v>
      </c>
      <c r="K6" t="str" cm="1">
        <f t="array" ref="K6:Q6">_xlfn.TEXTSPLIT(A6, ",")</f>
        <v>30</v>
      </c>
      <c r="L6" t="str">
        <v>16.9673</v>
      </c>
      <c r="M6" t="str">
        <v>0.900402</v>
      </c>
      <c r="N6" t="str">
        <v>0.588865</v>
      </c>
      <c r="O6" t="str">
        <v>1.91717</v>
      </c>
      <c r="P6" t="str">
        <v>0</v>
      </c>
      <c r="Q6" t="str">
        <v>0.588865</v>
      </c>
    </row>
    <row r="7" spans="1:17" x14ac:dyDescent="0.35">
      <c r="A7" t="s">
        <v>453</v>
      </c>
      <c r="K7" t="str" cm="1">
        <f t="array" ref="K7:Q7">_xlfn.TEXTSPLIT(A7, ",")</f>
        <v>40</v>
      </c>
      <c r="L7" t="str">
        <v>17.237</v>
      </c>
      <c r="M7" t="str">
        <v>0.901194</v>
      </c>
      <c r="N7" t="str">
        <v>0.606709</v>
      </c>
      <c r="O7" t="str">
        <v>1.91683</v>
      </c>
      <c r="P7" t="str">
        <v>0</v>
      </c>
      <c r="Q7" t="str">
        <v>0.606709</v>
      </c>
    </row>
    <row r="8" spans="1:17" x14ac:dyDescent="0.35">
      <c r="A8" t="s">
        <v>454</v>
      </c>
      <c r="K8" t="str" cm="1">
        <f t="array" ref="K8:Q8">_xlfn.TEXTSPLIT(A8, ",")</f>
        <v>50</v>
      </c>
      <c r="L8" t="str">
        <v>17.3061</v>
      </c>
      <c r="M8" t="str">
        <v>0.90188</v>
      </c>
      <c r="N8" t="str">
        <v>0.820842</v>
      </c>
      <c r="O8" t="str">
        <v>1.9127</v>
      </c>
      <c r="P8" t="str">
        <v>0</v>
      </c>
      <c r="Q8" t="str">
        <v>0.820842</v>
      </c>
    </row>
    <row r="9" spans="1:17" x14ac:dyDescent="0.35">
      <c r="A9" t="s">
        <v>455</v>
      </c>
      <c r="K9" t="str" cm="1">
        <f t="array" ref="K9:Q9">_xlfn.TEXTSPLIT(A9, ",")</f>
        <v>60</v>
      </c>
      <c r="L9" t="str">
        <v>17.3651</v>
      </c>
      <c r="M9" t="str">
        <v>0.900367</v>
      </c>
      <c r="N9" t="str">
        <v>0.624554</v>
      </c>
      <c r="O9" t="str">
        <v>1.91649</v>
      </c>
      <c r="P9" t="str">
        <v>0</v>
      </c>
      <c r="Q9" t="str">
        <v>0.624554</v>
      </c>
    </row>
    <row r="10" spans="1:17" x14ac:dyDescent="0.35">
      <c r="A10" t="s">
        <v>456</v>
      </c>
      <c r="K10" t="str" cm="1">
        <f t="array" ref="K10:Q10">_xlfn.TEXTSPLIT(A10, ",")</f>
        <v>70</v>
      </c>
      <c r="L10" t="str">
        <v>17.707</v>
      </c>
      <c r="M10" t="str">
        <v>0.902164</v>
      </c>
      <c r="N10" t="str">
        <v>0.624554</v>
      </c>
      <c r="O10" t="str">
        <v>1.91649</v>
      </c>
      <c r="P10" t="str">
        <v>0</v>
      </c>
      <c r="Q10" t="str">
        <v>0.624554</v>
      </c>
    </row>
    <row r="11" spans="1:17" x14ac:dyDescent="0.35">
      <c r="A11" t="s">
        <v>457</v>
      </c>
      <c r="K11" t="str" cm="1">
        <f t="array" ref="K11:Q11">_xlfn.TEXTSPLIT(A11, ",")</f>
        <v>80</v>
      </c>
      <c r="L11" t="str">
        <v>0.000502</v>
      </c>
      <c r="M11" t="str">
        <v>0</v>
      </c>
      <c r="N11" t="str">
        <v>99.9286</v>
      </c>
      <c r="O11" t="str">
        <v>13441.7</v>
      </c>
      <c r="P11" t="str">
        <v>0</v>
      </c>
      <c r="Q11" t="str">
        <v>99.9286</v>
      </c>
    </row>
    <row r="12" spans="1:17" x14ac:dyDescent="0.35">
      <c r="A12" t="s">
        <v>458</v>
      </c>
      <c r="K12" t="str" cm="1">
        <f t="array" ref="K12:Q12">_xlfn.TEXTSPLIT(A12, ",")</f>
        <v>90</v>
      </c>
      <c r="L12" t="str">
        <v>17.7953</v>
      </c>
      <c r="M12" t="str">
        <v>0.900729</v>
      </c>
      <c r="N12" t="str">
        <v>0.624554</v>
      </c>
      <c r="O12" t="str">
        <v>1.91649</v>
      </c>
      <c r="P12" t="str">
        <v>0</v>
      </c>
      <c r="Q12" t="str">
        <v>0.624554</v>
      </c>
    </row>
    <row r="13" spans="1:17" x14ac:dyDescent="0.35">
      <c r="A13" t="s">
        <v>459</v>
      </c>
      <c r="K13" t="str" cm="1">
        <f t="array" ref="K13:Q13">_xlfn.TEXTSPLIT(A13, ",")</f>
        <v>100</v>
      </c>
      <c r="L13" t="str">
        <v>17.8617</v>
      </c>
      <c r="M13" t="str">
        <v>0.89709</v>
      </c>
      <c r="N13" t="str">
        <v>0.588865</v>
      </c>
      <c r="O13" t="str">
        <v>1.91685</v>
      </c>
      <c r="P13" t="str">
        <v>0</v>
      </c>
      <c r="Q13" t="str">
        <v>0.588865</v>
      </c>
    </row>
    <row r="15" spans="1:17" x14ac:dyDescent="0.35">
      <c r="A15" t="s">
        <v>447</v>
      </c>
      <c r="K15" t="str" cm="1">
        <f t="array" ref="K15:Q15">_xlfn.TEXTSPLIT(A15, ",")</f>
        <v>Speed(m/s)</v>
      </c>
      <c r="L15" t="str">
        <v>AvgDelay(ms)</v>
      </c>
      <c r="M15" t="str">
        <v>Jitter(ms)</v>
      </c>
      <c r="N15" t="str">
        <v>PacketLoss(%)</v>
      </c>
      <c r="O15" t="str">
        <v>Throughput(Mbps)</v>
      </c>
      <c r="P15" t="str">
        <v>AvgSINR(dB)</v>
      </c>
      <c r="Q15" t="str">
        <v>BLER(%)</v>
      </c>
    </row>
    <row r="16" spans="1:17" x14ac:dyDescent="0.35">
      <c r="A16" t="s">
        <v>448</v>
      </c>
      <c r="K16" t="str" cm="1">
        <f t="array" ref="K16:Q16">_xlfn.TEXTSPLIT(A16, ",")</f>
        <v>0</v>
      </c>
      <c r="L16" t="str">
        <v>13.9206</v>
      </c>
      <c r="M16" t="str">
        <v>0.89818</v>
      </c>
      <c r="N16" t="str">
        <v>0.481799</v>
      </c>
      <c r="O16" t="str">
        <v>1.91924</v>
      </c>
      <c r="P16" t="str">
        <v>0</v>
      </c>
      <c r="Q16" t="str">
        <v>0.481799</v>
      </c>
    </row>
    <row r="17" spans="1:17" x14ac:dyDescent="0.35">
      <c r="A17" t="s">
        <v>449</v>
      </c>
      <c r="K17" t="str" cm="1">
        <f t="array" ref="K17:Q17">_xlfn.TEXTSPLIT(A17, ",")</f>
        <v>5</v>
      </c>
      <c r="L17" t="str">
        <v>0.000502</v>
      </c>
      <c r="M17" t="str">
        <v>0</v>
      </c>
      <c r="N17" t="str">
        <v>99.9286</v>
      </c>
      <c r="O17" t="str">
        <v>13441.7</v>
      </c>
      <c r="P17" t="str">
        <v>0</v>
      </c>
      <c r="Q17" t="str">
        <v>99.9286</v>
      </c>
    </row>
    <row r="18" spans="1:17" x14ac:dyDescent="0.35">
      <c r="A18" t="s">
        <v>450</v>
      </c>
      <c r="K18" t="str" cm="1">
        <f t="array" ref="K18:Q18">_xlfn.TEXTSPLIT(A18, ",")</f>
        <v>10</v>
      </c>
      <c r="L18" t="str">
        <v>16.8719</v>
      </c>
      <c r="M18" t="str">
        <v>0.904862</v>
      </c>
      <c r="N18" t="str">
        <v>0.624554</v>
      </c>
      <c r="O18" t="str">
        <v>1.91649</v>
      </c>
      <c r="P18" t="str">
        <v>0</v>
      </c>
      <c r="Q18" t="str">
        <v>0.624554</v>
      </c>
    </row>
    <row r="19" spans="1:17" x14ac:dyDescent="0.35">
      <c r="A19" t="s">
        <v>510</v>
      </c>
      <c r="K19" t="str" cm="1">
        <f t="array" ref="K19:Q19">_xlfn.TEXTSPLIT(A19, ",")</f>
        <v>15</v>
      </c>
      <c r="L19" t="str">
        <v>117.065</v>
      </c>
      <c r="M19" t="str">
        <v>0.499864</v>
      </c>
      <c r="N19" t="str">
        <v>99.8037</v>
      </c>
      <c r="O19" t="str">
        <v>0.0402216</v>
      </c>
      <c r="P19" t="str">
        <v>0</v>
      </c>
      <c r="Q19" t="str">
        <v>99.8037</v>
      </c>
    </row>
    <row r="20" spans="1:17" x14ac:dyDescent="0.35">
      <c r="A20" t="s">
        <v>511</v>
      </c>
      <c r="K20" t="str" cm="1">
        <f t="array" ref="K20:Q20">_xlfn.TEXTSPLIT(A20, ",")</f>
        <v>20</v>
      </c>
      <c r="L20" t="str">
        <v>16.5337</v>
      </c>
      <c r="M20" t="str">
        <v>0.899218</v>
      </c>
      <c r="N20" t="str">
        <v>0.606709</v>
      </c>
      <c r="O20" t="str">
        <v>1.91683</v>
      </c>
      <c r="P20" t="str">
        <v>0</v>
      </c>
      <c r="Q20" t="str">
        <v>0.606709</v>
      </c>
    </row>
    <row r="21" spans="1:17" x14ac:dyDescent="0.35">
      <c r="A21" t="s">
        <v>512</v>
      </c>
      <c r="K21" t="str" cm="1">
        <f t="array" ref="K21:Q21">_xlfn.TEXTSPLIT(A21, ",")</f>
        <v>25</v>
      </c>
      <c r="L21" t="str">
        <v>16.779</v>
      </c>
      <c r="M21" t="str">
        <v>0.899971</v>
      </c>
      <c r="N21" t="str">
        <v>0.571021</v>
      </c>
      <c r="O21" t="str">
        <v>1.91752</v>
      </c>
      <c r="P21" t="str">
        <v>0</v>
      </c>
      <c r="Q21" t="str">
        <v>0.571021</v>
      </c>
    </row>
    <row r="22" spans="1:17" x14ac:dyDescent="0.35">
      <c r="A22" t="s">
        <v>513</v>
      </c>
      <c r="K22" t="str" cm="1">
        <f t="array" ref="K22:Q22">_xlfn.TEXTSPLIT(A22, ",")</f>
        <v>30</v>
      </c>
      <c r="L22" t="str">
        <v>17.0558</v>
      </c>
      <c r="M22" t="str">
        <v>0.901732</v>
      </c>
      <c r="N22" t="str">
        <v>0.606709</v>
      </c>
      <c r="O22" t="str">
        <v>1.91683</v>
      </c>
      <c r="P22" t="str">
        <v>0</v>
      </c>
      <c r="Q22" t="str">
        <v>0.606709</v>
      </c>
    </row>
    <row r="23" spans="1:17" x14ac:dyDescent="0.35">
      <c r="A23" t="s">
        <v>514</v>
      </c>
      <c r="K23" t="str" cm="1">
        <f t="array" ref="K23:Q23">_xlfn.TEXTSPLIT(A23, ",")</f>
        <v>35</v>
      </c>
      <c r="L23" t="str">
        <v>16.9767</v>
      </c>
      <c r="M23" t="str">
        <v>0.901194</v>
      </c>
      <c r="N23" t="str">
        <v>0.606709</v>
      </c>
      <c r="O23" t="str">
        <v>1.91683</v>
      </c>
      <c r="P23" t="str">
        <v>0</v>
      </c>
      <c r="Q23" t="str">
        <v>0.606709</v>
      </c>
    </row>
    <row r="24" spans="1:17" x14ac:dyDescent="0.35">
      <c r="A24" t="s">
        <v>515</v>
      </c>
      <c r="K24" t="str" cm="1">
        <f t="array" ref="K24:Q24">_xlfn.TEXTSPLIT(A24, ",")</f>
        <v>40</v>
      </c>
      <c r="L24" t="str">
        <v>17.2802</v>
      </c>
      <c r="M24" t="str">
        <v>0.901806</v>
      </c>
      <c r="N24" t="str">
        <v>0.624554</v>
      </c>
      <c r="O24" t="str">
        <v>1.91649</v>
      </c>
      <c r="P24" t="str">
        <v>0</v>
      </c>
      <c r="Q24" t="str">
        <v>0.624554</v>
      </c>
    </row>
    <row r="25" spans="1:17" x14ac:dyDescent="0.35">
      <c r="A25" t="s">
        <v>516</v>
      </c>
      <c r="K25" t="str" cm="1">
        <f t="array" ref="K25:Q25">_xlfn.TEXTSPLIT(A25, ",")</f>
        <v>45</v>
      </c>
      <c r="L25" t="str">
        <v>0.000502</v>
      </c>
      <c r="M25" t="str">
        <v>0</v>
      </c>
      <c r="N25" t="str">
        <v>99.9286</v>
      </c>
      <c r="O25" t="str">
        <v>13441.7</v>
      </c>
      <c r="P25" t="str">
        <v>0</v>
      </c>
      <c r="Q25" t="str">
        <v>99.9286</v>
      </c>
    </row>
    <row r="26" spans="1:17" x14ac:dyDescent="0.35">
      <c r="A26" t="s">
        <v>517</v>
      </c>
      <c r="K26" t="str" cm="1">
        <f t="array" ref="K26:Q26">_xlfn.TEXTSPLIT(A26, ",")</f>
        <v>50</v>
      </c>
      <c r="L26" t="str">
        <v>17.2261</v>
      </c>
      <c r="M26" t="str">
        <v>0.900366</v>
      </c>
      <c r="N26" t="str">
        <v>0.624554</v>
      </c>
      <c r="O26" t="str">
        <v>1.91649</v>
      </c>
      <c r="P26" t="str">
        <v>0</v>
      </c>
      <c r="Q26" t="str">
        <v>0.624554</v>
      </c>
    </row>
    <row r="27" spans="1:17" x14ac:dyDescent="0.35">
      <c r="A27" t="s">
        <v>518</v>
      </c>
      <c r="K27" t="str" cm="1">
        <f t="array" ref="K27:Q27">_xlfn.TEXTSPLIT(A27, ",")</f>
        <v>55</v>
      </c>
      <c r="L27" t="str">
        <v>17.4446</v>
      </c>
      <c r="M27" t="str">
        <v>0.901876</v>
      </c>
      <c r="N27" t="str">
        <v>0.642398</v>
      </c>
      <c r="O27" t="str">
        <v>1.91614</v>
      </c>
      <c r="P27" t="str">
        <v>0</v>
      </c>
      <c r="Q27" t="str">
        <v>0.642398</v>
      </c>
    </row>
    <row r="28" spans="1:17" x14ac:dyDescent="0.35">
      <c r="A28" t="s">
        <v>519</v>
      </c>
      <c r="K28" t="str" cm="1">
        <f t="array" ref="K28:Q28">_xlfn.TEXTSPLIT(A28, ",")</f>
        <v>60</v>
      </c>
      <c r="L28" t="str">
        <v>17.4503</v>
      </c>
      <c r="M28" t="str">
        <v>0.900941</v>
      </c>
      <c r="N28" t="str">
        <v>0.588865</v>
      </c>
      <c r="O28" t="str">
        <v>1.91717</v>
      </c>
      <c r="P28" t="str">
        <v>0</v>
      </c>
      <c r="Q28" t="str">
        <v>0.588865</v>
      </c>
    </row>
    <row r="29" spans="1:17" x14ac:dyDescent="0.35">
      <c r="A29" t="s">
        <v>520</v>
      </c>
      <c r="K29" t="str" cm="1">
        <f t="array" ref="K29:Q29">_xlfn.TEXTSPLIT(A29, ",")</f>
        <v>65</v>
      </c>
      <c r="L29" t="str">
        <v>0.000502</v>
      </c>
      <c r="M29" t="str">
        <v>0</v>
      </c>
      <c r="N29" t="str">
        <v>99.9286</v>
      </c>
      <c r="O29" t="str">
        <v>13441.7</v>
      </c>
      <c r="P29" t="str">
        <v>0</v>
      </c>
      <c r="Q29" t="str">
        <v>99.9286</v>
      </c>
    </row>
    <row r="30" spans="1:17" x14ac:dyDescent="0.35">
      <c r="A30" t="s">
        <v>521</v>
      </c>
      <c r="K30" t="str" cm="1">
        <f t="array" ref="K30:Q30">_xlfn.TEXTSPLIT(A30, ",")</f>
        <v>70</v>
      </c>
      <c r="L30" t="str">
        <v>0.000502</v>
      </c>
      <c r="M30" t="str">
        <v>0</v>
      </c>
      <c r="N30" t="str">
        <v>99.9286</v>
      </c>
      <c r="O30" t="str">
        <v>13441.7</v>
      </c>
      <c r="P30" t="str">
        <v>0</v>
      </c>
      <c r="Q30" t="str">
        <v>99.9286</v>
      </c>
    </row>
    <row r="31" spans="1:17" x14ac:dyDescent="0.35">
      <c r="A31" t="s">
        <v>522</v>
      </c>
      <c r="K31" t="str" cm="1">
        <f t="array" ref="K31:Q31">_xlfn.TEXTSPLIT(A31, ",")</f>
        <v>75</v>
      </c>
      <c r="L31" t="str">
        <v>0.000502</v>
      </c>
      <c r="M31" t="str">
        <v>0</v>
      </c>
      <c r="N31" t="str">
        <v>99.9286</v>
      </c>
      <c r="O31" t="str">
        <v>13441.7</v>
      </c>
      <c r="P31" t="str">
        <v>0</v>
      </c>
      <c r="Q31" t="str">
        <v>99.9286</v>
      </c>
    </row>
    <row r="32" spans="1:17" x14ac:dyDescent="0.35">
      <c r="A32" t="s">
        <v>523</v>
      </c>
      <c r="K32" t="str" cm="1">
        <f t="array" ref="K32:Q32">_xlfn.TEXTSPLIT(A32, ",")</f>
        <v>80</v>
      </c>
      <c r="L32" t="str">
        <v>17.8955</v>
      </c>
      <c r="M32" t="str">
        <v>0.90163</v>
      </c>
      <c r="N32" t="str">
        <v>0.624554</v>
      </c>
      <c r="O32" t="str">
        <v>1.91649</v>
      </c>
      <c r="P32" t="str">
        <v>0</v>
      </c>
      <c r="Q32" t="str">
        <v>0.624554</v>
      </c>
    </row>
    <row r="33" spans="1:35" x14ac:dyDescent="0.35">
      <c r="A33" t="s">
        <v>524</v>
      </c>
      <c r="K33" t="str" cm="1">
        <f t="array" ref="K33:Q33">_xlfn.TEXTSPLIT(A33, ",")</f>
        <v>85</v>
      </c>
      <c r="L33" t="str">
        <v>17.825</v>
      </c>
      <c r="M33" t="str">
        <v>0.900639</v>
      </c>
      <c r="N33" t="str">
        <v>0.624554</v>
      </c>
      <c r="O33" t="str">
        <v>1.91616</v>
      </c>
      <c r="P33" t="str">
        <v>0</v>
      </c>
      <c r="Q33" t="str">
        <v>0.624554</v>
      </c>
    </row>
    <row r="34" spans="1:35" x14ac:dyDescent="0.35">
      <c r="A34" t="s">
        <v>525</v>
      </c>
      <c r="K34" t="str" cm="1">
        <f t="array" ref="K34:Q34">_xlfn.TEXTSPLIT(A34, ",")</f>
        <v>90</v>
      </c>
      <c r="L34" t="str">
        <v>17.7871</v>
      </c>
      <c r="M34" t="str">
        <v>0.90134</v>
      </c>
      <c r="N34" t="str">
        <v>0.642398</v>
      </c>
      <c r="O34" t="str">
        <v>1.91614</v>
      </c>
      <c r="P34" t="str">
        <v>0</v>
      </c>
      <c r="Q34" t="str">
        <v>0.642398</v>
      </c>
    </row>
    <row r="35" spans="1:35" x14ac:dyDescent="0.35">
      <c r="A35" t="s">
        <v>526</v>
      </c>
      <c r="K35" t="str" cm="1">
        <f t="array" ref="K35:Q35">_xlfn.TEXTSPLIT(A35, ",")</f>
        <v>95</v>
      </c>
      <c r="L35" t="str">
        <v>0.000502</v>
      </c>
      <c r="M35" t="str">
        <v>0</v>
      </c>
      <c r="N35" t="str">
        <v>99.9286</v>
      </c>
      <c r="O35" t="str">
        <v>13441.7</v>
      </c>
      <c r="P35" t="str">
        <v>0</v>
      </c>
      <c r="Q35" t="str">
        <v>99.9286</v>
      </c>
    </row>
    <row r="36" spans="1:35" x14ac:dyDescent="0.35">
      <c r="A36" t="s">
        <v>527</v>
      </c>
      <c r="K36" t="str" cm="1">
        <f t="array" ref="K36:Q36">_xlfn.TEXTSPLIT(A36, ",")</f>
        <v>100</v>
      </c>
      <c r="L36" t="str">
        <v>17.4416</v>
      </c>
      <c r="M36" t="str">
        <v>0.901588</v>
      </c>
      <c r="N36" t="str">
        <v>66.8273</v>
      </c>
      <c r="O36" t="str">
        <v>1.69887</v>
      </c>
      <c r="P36" t="str">
        <v>0</v>
      </c>
      <c r="Q36" t="str">
        <v>66.8273</v>
      </c>
    </row>
    <row r="37" spans="1:35" x14ac:dyDescent="0.35">
      <c r="A37" t="s">
        <v>591</v>
      </c>
    </row>
    <row r="38" spans="1:35" x14ac:dyDescent="0.35">
      <c r="A38" t="s">
        <v>447</v>
      </c>
      <c r="K38" t="str" cm="1">
        <f t="array" ref="K38:Q38">_xlfn.TEXTSPLIT(A38, ",")</f>
        <v>Speed(m/s)</v>
      </c>
      <c r="L38" t="str">
        <v>AvgDelay(ms)</v>
      </c>
      <c r="M38" t="str">
        <v>Jitter(ms)</v>
      </c>
      <c r="N38" t="str">
        <v>PacketLoss(%)</v>
      </c>
      <c r="O38" t="str">
        <v>Throughput(Mbps)</v>
      </c>
      <c r="P38" t="str">
        <v>AvgSINR(dB)</v>
      </c>
      <c r="Q38" t="str">
        <v>BLER(%)</v>
      </c>
      <c r="S38" t="s">
        <v>447</v>
      </c>
      <c r="AC38" t="str" cm="1">
        <f t="array" ref="AC38:AI38">_xlfn.TEXTSPLIT(S38, ",")</f>
        <v>Speed(m/s)</v>
      </c>
      <c r="AD38" t="str">
        <v>AvgDelay(ms)</v>
      </c>
      <c r="AE38" t="str">
        <v>Jitter(ms)</v>
      </c>
      <c r="AF38" t="str">
        <v>PacketLoss(%)</v>
      </c>
      <c r="AG38" t="str">
        <v>Throughput(Mbps)</v>
      </c>
      <c r="AH38" t="str">
        <v>AvgSINR(dB)</v>
      </c>
      <c r="AI38" t="str">
        <v>BLER(%)</v>
      </c>
    </row>
    <row r="39" spans="1:35" x14ac:dyDescent="0.35">
      <c r="A39" t="s">
        <v>448</v>
      </c>
      <c r="K39" t="str" cm="1">
        <f t="array" ref="K39:Q39">_xlfn.TEXTSPLIT(A39, ",")</f>
        <v>0</v>
      </c>
      <c r="L39" t="str">
        <v>13.9206</v>
      </c>
      <c r="M39" t="str">
        <v>0.89818</v>
      </c>
      <c r="N39" t="str">
        <v>0.481799</v>
      </c>
      <c r="O39" t="str">
        <v>1.91924</v>
      </c>
      <c r="P39" t="str">
        <v>0</v>
      </c>
      <c r="Q39" t="str">
        <v>0.481799</v>
      </c>
      <c r="S39" t="s">
        <v>548</v>
      </c>
      <c r="AC39" t="str" cm="1">
        <f t="array" ref="AC39:AI39">_xlfn.TEXTSPLIT(S39, ",")</f>
        <v>0</v>
      </c>
      <c r="AD39" t="str">
        <v>13.9055</v>
      </c>
      <c r="AE39" t="str">
        <v>0.898839</v>
      </c>
      <c r="AF39" t="str">
        <v>0.281133</v>
      </c>
      <c r="AG39" t="str">
        <v>1.97099</v>
      </c>
      <c r="AH39" t="str">
        <v>0</v>
      </c>
      <c r="AI39" t="str">
        <v>0.281133</v>
      </c>
    </row>
    <row r="40" spans="1:35" x14ac:dyDescent="0.35">
      <c r="A40" t="s">
        <v>528</v>
      </c>
      <c r="K40" t="str" cm="1">
        <f t="array" ref="K40:Q40">_xlfn.TEXTSPLIT(A40, ",")</f>
        <v>2.5</v>
      </c>
      <c r="L40" t="str">
        <v>0.000502</v>
      </c>
      <c r="M40" t="str">
        <v>0</v>
      </c>
      <c r="N40" t="str">
        <v>99.9286</v>
      </c>
      <c r="O40" t="str">
        <v>13441.7</v>
      </c>
      <c r="P40" t="str">
        <v>0</v>
      </c>
      <c r="Q40" t="str">
        <v>99.9286</v>
      </c>
      <c r="S40" t="s">
        <v>549</v>
      </c>
      <c r="AC40" t="str" cm="1">
        <f t="array" ref="AC40:AI40">_xlfn.TEXTSPLIT(S40, ",")</f>
        <v>2.5</v>
      </c>
      <c r="AD40" t="str">
        <v>0.000502</v>
      </c>
      <c r="AE40" t="str">
        <v>0</v>
      </c>
      <c r="AF40" t="str">
        <v>99.9584</v>
      </c>
      <c r="AG40" t="str">
        <v>13441.7</v>
      </c>
      <c r="AH40" t="str">
        <v>0</v>
      </c>
      <c r="AI40" t="str">
        <v>99.9584</v>
      </c>
    </row>
    <row r="41" spans="1:35" x14ac:dyDescent="0.35">
      <c r="A41" t="s">
        <v>529</v>
      </c>
      <c r="K41" t="str" cm="1">
        <f t="array" ref="K41:Q41">_xlfn.TEXTSPLIT(A41, ",")</f>
        <v>5</v>
      </c>
      <c r="L41" t="str">
        <v>16.5565</v>
      </c>
      <c r="M41" t="str">
        <v>0.904754</v>
      </c>
      <c r="N41" t="str">
        <v>0.642398</v>
      </c>
      <c r="O41" t="str">
        <v>1.91614</v>
      </c>
      <c r="P41" t="str">
        <v>0</v>
      </c>
      <c r="Q41" t="str">
        <v>0.642398</v>
      </c>
      <c r="S41" t="s">
        <v>550</v>
      </c>
      <c r="AC41" t="str" cm="1">
        <f t="array" ref="AC41:AI41">_xlfn.TEXTSPLIT(S41, ",")</f>
        <v>5</v>
      </c>
      <c r="AD41" t="str">
        <v>16.5422</v>
      </c>
      <c r="AE41" t="str">
        <v>0.903185</v>
      </c>
      <c r="AF41" t="str">
        <v>0.322782</v>
      </c>
      <c r="AG41" t="str">
        <v>1.97017</v>
      </c>
      <c r="AH41" t="str">
        <v>0</v>
      </c>
      <c r="AI41" t="str">
        <v>0.322782</v>
      </c>
    </row>
    <row r="42" spans="1:35" x14ac:dyDescent="0.35">
      <c r="A42" t="s">
        <v>530</v>
      </c>
      <c r="K42" t="str" cm="1">
        <f t="array" ref="K42:Q42">_xlfn.TEXTSPLIT(A42, ",")</f>
        <v>7.5</v>
      </c>
      <c r="L42" t="str">
        <v>180.466</v>
      </c>
      <c r="M42" t="str">
        <v>5.23667</v>
      </c>
      <c r="N42" t="str">
        <v>99.5717</v>
      </c>
      <c r="O42" t="str">
        <v>0.0615935</v>
      </c>
      <c r="P42" t="str">
        <v>0</v>
      </c>
      <c r="Q42" t="str">
        <v>99.5717</v>
      </c>
      <c r="S42" t="s">
        <v>551</v>
      </c>
      <c r="AC42" t="str" cm="1">
        <f t="array" ref="AC42:AI42">_xlfn.TEXTSPLIT(S42, ",")</f>
        <v>7.5</v>
      </c>
      <c r="AD42" t="str">
        <v>187.015</v>
      </c>
      <c r="AE42" t="str">
        <v>3.87484</v>
      </c>
      <c r="AF42" t="str">
        <v>99.6564</v>
      </c>
      <c r="AG42" t="str">
        <v>0.0839064</v>
      </c>
      <c r="AH42" t="str">
        <v>0</v>
      </c>
      <c r="AI42" t="str">
        <v>99.6564</v>
      </c>
    </row>
    <row r="43" spans="1:35" x14ac:dyDescent="0.35">
      <c r="A43" t="s">
        <v>531</v>
      </c>
      <c r="K43" t="str" cm="1">
        <f t="array" ref="K43:Q43">_xlfn.TEXTSPLIT(A43, ",")</f>
        <v>10</v>
      </c>
      <c r="L43" t="str">
        <v>16.0144</v>
      </c>
      <c r="M43" t="str">
        <v>0.899397</v>
      </c>
      <c r="N43" t="str">
        <v>0.517488</v>
      </c>
      <c r="O43" t="str">
        <v>1.91855</v>
      </c>
      <c r="P43" t="str">
        <v>0</v>
      </c>
      <c r="Q43" t="str">
        <v>0.517488</v>
      </c>
      <c r="S43" t="s">
        <v>552</v>
      </c>
      <c r="AC43" t="str" cm="1">
        <f t="array" ref="AC43:AI43">_xlfn.TEXTSPLIT(S43, ",")</f>
        <v>10</v>
      </c>
      <c r="AD43" t="str">
        <v>16.3094</v>
      </c>
      <c r="AE43" t="str">
        <v>0.900342</v>
      </c>
      <c r="AF43" t="str">
        <v>0.343607</v>
      </c>
      <c r="AG43" t="str">
        <v>1.96976</v>
      </c>
      <c r="AH43" t="str">
        <v>0</v>
      </c>
      <c r="AI43" t="str">
        <v>0.343607</v>
      </c>
    </row>
    <row r="44" spans="1:35" x14ac:dyDescent="0.35">
      <c r="A44" t="s">
        <v>532</v>
      </c>
      <c r="K44" t="str" cm="1">
        <f t="array" ref="K44:Q44">_xlfn.TEXTSPLIT(A44, ",")</f>
        <v>12.5</v>
      </c>
      <c r="L44" t="str">
        <v>16.2749</v>
      </c>
      <c r="M44" t="str">
        <v>0.900728</v>
      </c>
      <c r="N44" t="str">
        <v>0.624554</v>
      </c>
      <c r="O44" t="str">
        <v>1.91649</v>
      </c>
      <c r="P44" t="str">
        <v>0</v>
      </c>
      <c r="Q44" t="str">
        <v>0.624554</v>
      </c>
      <c r="S44" t="s">
        <v>553</v>
      </c>
      <c r="AC44" t="str" cm="1">
        <f t="array" ref="AC44:AI44">_xlfn.TEXTSPLIT(S44, ",")</f>
        <v>12.5</v>
      </c>
      <c r="AD44" t="str">
        <v>16.6009</v>
      </c>
      <c r="AE44" t="str">
        <v>0.900426</v>
      </c>
      <c r="AF44" t="str">
        <v>0.364431</v>
      </c>
      <c r="AG44" t="str">
        <v>1.96934</v>
      </c>
      <c r="AH44" t="str">
        <v>0</v>
      </c>
      <c r="AI44" t="str">
        <v>0.364431</v>
      </c>
    </row>
    <row r="45" spans="1:35" x14ac:dyDescent="0.35">
      <c r="A45" t="s">
        <v>533</v>
      </c>
      <c r="K45" t="str" cm="1">
        <f t="array" ref="K45:Q45">_xlfn.TEXTSPLIT(A45, ",")</f>
        <v>15</v>
      </c>
      <c r="L45" t="str">
        <v>16.2655</v>
      </c>
      <c r="M45" t="str">
        <v>0.899576</v>
      </c>
      <c r="N45" t="str">
        <v>0.517488</v>
      </c>
      <c r="O45" t="str">
        <v>1.91855</v>
      </c>
      <c r="P45" t="str">
        <v>0</v>
      </c>
      <c r="Q45" t="str">
        <v>0.517488</v>
      </c>
      <c r="S45" t="s">
        <v>554</v>
      </c>
      <c r="AC45" t="str" cm="1">
        <f t="array" ref="AC45:AI45">_xlfn.TEXTSPLIT(S45, ",")</f>
        <v>15</v>
      </c>
      <c r="AD45" t="str">
        <v>16.6408</v>
      </c>
      <c r="AE45" t="str">
        <v>0.900363</v>
      </c>
      <c r="AF45" t="str">
        <v>0.374844</v>
      </c>
      <c r="AG45" t="str">
        <v>1.96914</v>
      </c>
      <c r="AH45" t="str">
        <v>0</v>
      </c>
      <c r="AI45" t="str">
        <v>0.374844</v>
      </c>
    </row>
    <row r="46" spans="1:35" x14ac:dyDescent="0.35">
      <c r="A46" t="s">
        <v>534</v>
      </c>
      <c r="K46" t="str" cm="1">
        <f t="array" ref="K46:Q46">_xlfn.TEXTSPLIT(A46, ",")</f>
        <v>17.5</v>
      </c>
      <c r="L46" t="str">
        <v>16.2683</v>
      </c>
      <c r="M46" t="str">
        <v>0.900368</v>
      </c>
      <c r="N46" t="str">
        <v>0.624554</v>
      </c>
      <c r="O46" t="str">
        <v>1.91649</v>
      </c>
      <c r="P46" t="str">
        <v>0</v>
      </c>
      <c r="Q46" t="str">
        <v>0.624554</v>
      </c>
      <c r="S46" t="s">
        <v>555</v>
      </c>
      <c r="AC46" t="str" cm="1">
        <f t="array" ref="AC46:AI46">_xlfn.TEXTSPLIT(S46, ",")</f>
        <v>17.5</v>
      </c>
      <c r="AD46" t="str">
        <v>16.6759</v>
      </c>
      <c r="AE46" t="str">
        <v>0.900509</v>
      </c>
      <c r="AF46" t="str">
        <v>0.333195</v>
      </c>
      <c r="AG46" t="str">
        <v>1.96996</v>
      </c>
      <c r="AH46" t="str">
        <v>0</v>
      </c>
      <c r="AI46" t="str">
        <v>0.333195</v>
      </c>
    </row>
    <row r="47" spans="1:35" x14ac:dyDescent="0.35">
      <c r="A47" t="s">
        <v>535</v>
      </c>
      <c r="K47" t="str" cm="1">
        <f t="array" ref="K47:Q47">_xlfn.TEXTSPLIT(A47, ",")</f>
        <v>20</v>
      </c>
      <c r="L47" t="str">
        <v>16.6221</v>
      </c>
      <c r="M47" t="str">
        <v>0.900726</v>
      </c>
      <c r="N47" t="str">
        <v>0.624554</v>
      </c>
      <c r="O47" t="str">
        <v>1.91649</v>
      </c>
      <c r="P47" t="str">
        <v>0</v>
      </c>
      <c r="Q47" t="str">
        <v>0.624554</v>
      </c>
      <c r="S47" t="s">
        <v>556</v>
      </c>
      <c r="AC47" t="str" cm="1">
        <f t="array" ref="AC47:AI47">_xlfn.TEXTSPLIT(S47, ",")</f>
        <v>20</v>
      </c>
      <c r="AD47" t="str">
        <v>17.0685</v>
      </c>
      <c r="AE47" t="str">
        <v>0.902097</v>
      </c>
      <c r="AF47" t="str">
        <v>0.364431</v>
      </c>
      <c r="AG47" t="str">
        <v>1.96934</v>
      </c>
      <c r="AH47" t="str">
        <v>0</v>
      </c>
      <c r="AI47" t="str">
        <v>0.364431</v>
      </c>
    </row>
    <row r="48" spans="1:35" x14ac:dyDescent="0.35">
      <c r="A48" t="s">
        <v>536</v>
      </c>
      <c r="K48" t="str" cm="1">
        <f t="array" ref="K48:Q48">_xlfn.TEXTSPLIT(A48, ",")</f>
        <v>22.5</v>
      </c>
      <c r="L48" t="str">
        <v>0.000502</v>
      </c>
      <c r="M48" t="str">
        <v>0</v>
      </c>
      <c r="N48" t="str">
        <v>99.9286</v>
      </c>
      <c r="O48" t="str">
        <v>13441.7</v>
      </c>
      <c r="P48" t="str">
        <v>0</v>
      </c>
      <c r="Q48" t="str">
        <v>99.9286</v>
      </c>
      <c r="S48" t="s">
        <v>557</v>
      </c>
      <c r="AC48" t="str" cm="1">
        <f t="array" ref="AC48:AI48">_xlfn.TEXTSPLIT(S48, ",")</f>
        <v>22.5</v>
      </c>
      <c r="AD48" t="str">
        <v>0.000502</v>
      </c>
      <c r="AE48" t="str">
        <v>0</v>
      </c>
      <c r="AF48" t="str">
        <v>99.9584</v>
      </c>
      <c r="AG48" t="str">
        <v>13441.7</v>
      </c>
      <c r="AH48" t="str">
        <v>0</v>
      </c>
      <c r="AI48" t="str">
        <v>99.9584</v>
      </c>
    </row>
    <row r="49" spans="1:35" x14ac:dyDescent="0.35">
      <c r="A49" t="s">
        <v>537</v>
      </c>
      <c r="K49" t="str" cm="1">
        <f t="array" ref="K49:Q49">_xlfn.TEXTSPLIT(A49, ",")</f>
        <v>25</v>
      </c>
      <c r="L49" t="str">
        <v>16.713</v>
      </c>
      <c r="M49" t="str">
        <v>0.899864</v>
      </c>
      <c r="N49" t="str">
        <v>0.588865</v>
      </c>
      <c r="O49" t="str">
        <v>1.91717</v>
      </c>
      <c r="P49" t="str">
        <v>0</v>
      </c>
      <c r="Q49" t="str">
        <v>0.588865</v>
      </c>
      <c r="S49" t="s">
        <v>558</v>
      </c>
      <c r="AC49" t="str" cm="1">
        <f t="array" ref="AC49:AI49">_xlfn.TEXTSPLIT(S49, ",")</f>
        <v>25</v>
      </c>
      <c r="AD49" t="str">
        <v>17.082</v>
      </c>
      <c r="AE49" t="str">
        <v>0.901052</v>
      </c>
      <c r="AF49" t="str">
        <v>0.364431</v>
      </c>
      <c r="AG49" t="str">
        <v>1.96935</v>
      </c>
      <c r="AH49" t="str">
        <v>0</v>
      </c>
      <c r="AI49" t="str">
        <v>0.364431</v>
      </c>
    </row>
    <row r="50" spans="1:35" x14ac:dyDescent="0.35">
      <c r="A50" t="s">
        <v>538</v>
      </c>
      <c r="K50" t="str" cm="1">
        <f t="array" ref="K50:Q50">_xlfn.TEXTSPLIT(A50, ",")</f>
        <v>27.5</v>
      </c>
      <c r="L50" t="str">
        <v>16.6526</v>
      </c>
      <c r="M50" t="str">
        <v>0.900474</v>
      </c>
      <c r="N50" t="str">
        <v>0.606709</v>
      </c>
      <c r="O50" t="str">
        <v>1.91683</v>
      </c>
      <c r="P50" t="str">
        <v>0</v>
      </c>
      <c r="Q50" t="str">
        <v>0.606709</v>
      </c>
      <c r="S50" t="s">
        <v>559</v>
      </c>
      <c r="AC50" t="str" cm="1">
        <f t="array" ref="AC50:AI50">_xlfn.TEXTSPLIT(S50, ",")</f>
        <v>27.5</v>
      </c>
      <c r="AD50" t="str">
        <v>17.0803</v>
      </c>
      <c r="AE50" t="str">
        <v>0.901407</v>
      </c>
      <c r="AF50" t="str">
        <v>0.374844</v>
      </c>
      <c r="AG50" t="str">
        <v>1.96914</v>
      </c>
      <c r="AH50" t="str">
        <v>0</v>
      </c>
      <c r="AI50" t="str">
        <v>0.374844</v>
      </c>
    </row>
    <row r="51" spans="1:35" x14ac:dyDescent="0.35">
      <c r="A51" t="s">
        <v>539</v>
      </c>
      <c r="K51" t="str" cm="1">
        <f t="array" ref="K51:Q51">_xlfn.TEXTSPLIT(A51, ",")</f>
        <v>30</v>
      </c>
      <c r="L51" t="str">
        <v>16.7497</v>
      </c>
      <c r="M51" t="str">
        <v>0.899973</v>
      </c>
      <c r="N51" t="str">
        <v>0.571021</v>
      </c>
      <c r="O51" t="str">
        <v>1.91752</v>
      </c>
      <c r="P51" t="str">
        <v>0</v>
      </c>
      <c r="Q51" t="str">
        <v>0.571021</v>
      </c>
      <c r="S51" t="s">
        <v>560</v>
      </c>
      <c r="AC51" t="str" cm="1">
        <f t="array" ref="AC51:AI51">_xlfn.TEXTSPLIT(S51, ",")</f>
        <v>30</v>
      </c>
      <c r="AD51" t="str">
        <v>17.1447</v>
      </c>
      <c r="AE51" t="str">
        <v>0.901011</v>
      </c>
      <c r="AF51" t="str">
        <v>0.354019</v>
      </c>
      <c r="AG51" t="str">
        <v>1.96955</v>
      </c>
      <c r="AH51" t="str">
        <v>0</v>
      </c>
      <c r="AI51" t="str">
        <v>0.354019</v>
      </c>
    </row>
    <row r="52" spans="1:35" x14ac:dyDescent="0.35">
      <c r="A52" t="s">
        <v>540</v>
      </c>
      <c r="K52" t="str" cm="1">
        <f t="array" ref="K52:Q52">_xlfn.TEXTSPLIT(A52, ",")</f>
        <v>32.5</v>
      </c>
      <c r="L52" t="str">
        <v>19.3947</v>
      </c>
      <c r="M52" t="str">
        <v>0.882938</v>
      </c>
      <c r="N52" t="str">
        <v>97.1627</v>
      </c>
      <c r="O52" t="str">
        <v>0.59298</v>
      </c>
      <c r="P52" t="str">
        <v>0</v>
      </c>
      <c r="Q52" t="str">
        <v>97.1627</v>
      </c>
      <c r="S52" t="s">
        <v>561</v>
      </c>
      <c r="AC52" t="str" cm="1">
        <f t="array" ref="AC52:AI52">_xlfn.TEXTSPLIT(S52, ",")</f>
        <v>32.5</v>
      </c>
      <c r="AD52" t="str">
        <v>19.3947</v>
      </c>
      <c r="AE52" t="str">
        <v>0.882938</v>
      </c>
      <c r="AF52" t="str">
        <v>98.3444</v>
      </c>
      <c r="AG52" t="str">
        <v>0.59298</v>
      </c>
      <c r="AH52" t="str">
        <v>0</v>
      </c>
      <c r="AI52" t="str">
        <v>98.3444</v>
      </c>
    </row>
    <row r="53" spans="1:35" x14ac:dyDescent="0.35">
      <c r="A53" t="s">
        <v>541</v>
      </c>
      <c r="K53" t="str" cm="1">
        <f t="array" ref="K53:Q53">_xlfn.TEXTSPLIT(A53, ",")</f>
        <v>35</v>
      </c>
      <c r="L53" t="str">
        <v>0.000502</v>
      </c>
      <c r="M53" t="str">
        <v>0</v>
      </c>
      <c r="N53" t="str">
        <v>99.9286</v>
      </c>
      <c r="O53" t="str">
        <v>13441.7</v>
      </c>
      <c r="P53" t="str">
        <v>0</v>
      </c>
      <c r="Q53" t="str">
        <v>99.9286</v>
      </c>
      <c r="S53" t="s">
        <v>562</v>
      </c>
      <c r="AC53" t="str" cm="1">
        <f t="array" ref="AC53:AI53">_xlfn.TEXTSPLIT(S53, ",")</f>
        <v>35</v>
      </c>
      <c r="AD53" t="str">
        <v>0.000502</v>
      </c>
      <c r="AE53" t="str">
        <v>0</v>
      </c>
      <c r="AF53" t="str">
        <v>99.9584</v>
      </c>
      <c r="AG53" t="str">
        <v>13441.7</v>
      </c>
      <c r="AH53" t="str">
        <v>0</v>
      </c>
      <c r="AI53" t="str">
        <v>99.9584</v>
      </c>
    </row>
    <row r="54" spans="1:35" x14ac:dyDescent="0.35">
      <c r="A54" t="s">
        <v>542</v>
      </c>
      <c r="K54" t="str" cm="1">
        <f t="array" ref="K54:Q54">_xlfn.TEXTSPLIT(A54, ",")</f>
        <v>37.5</v>
      </c>
      <c r="L54" t="str">
        <v>0.000502</v>
      </c>
      <c r="M54" t="str">
        <v>0</v>
      </c>
      <c r="N54" t="str">
        <v>99.9286</v>
      </c>
      <c r="O54" t="str">
        <v>13441.7</v>
      </c>
      <c r="P54" t="str">
        <v>0</v>
      </c>
      <c r="Q54" t="str">
        <v>99.9286</v>
      </c>
      <c r="S54" t="s">
        <v>563</v>
      </c>
      <c r="AC54" t="str" cm="1">
        <f t="array" ref="AC54:AI54">_xlfn.TEXTSPLIT(S54, ",")</f>
        <v>37.5</v>
      </c>
      <c r="AD54" t="str">
        <v>0.000502</v>
      </c>
      <c r="AE54" t="str">
        <v>0</v>
      </c>
      <c r="AF54" t="str">
        <v>99.9584</v>
      </c>
      <c r="AG54" t="str">
        <v>13441.7</v>
      </c>
      <c r="AH54" t="str">
        <v>0</v>
      </c>
      <c r="AI54" t="str">
        <v>99.9584</v>
      </c>
    </row>
    <row r="55" spans="1:35" x14ac:dyDescent="0.35">
      <c r="A55" t="s">
        <v>543</v>
      </c>
      <c r="K55" t="str" cm="1">
        <f t="array" ref="K55:Q55">_xlfn.TEXTSPLIT(A55, ",")</f>
        <v>40</v>
      </c>
      <c r="L55" t="str">
        <v>17.1228</v>
      </c>
      <c r="M55" t="str">
        <v>0.900725</v>
      </c>
      <c r="N55" t="str">
        <v>0.624554</v>
      </c>
      <c r="O55" t="str">
        <v>1.91649</v>
      </c>
      <c r="P55" t="str">
        <v>0</v>
      </c>
      <c r="Q55" t="str">
        <v>0.624554</v>
      </c>
      <c r="S55" t="s">
        <v>564</v>
      </c>
      <c r="AC55" t="str" cm="1">
        <f t="array" ref="AC55:AI55">_xlfn.TEXTSPLIT(S55, ",")</f>
        <v>40</v>
      </c>
      <c r="AD55" t="str">
        <v>17.5625</v>
      </c>
      <c r="AE55" t="str">
        <v>0.901722</v>
      </c>
      <c r="AF55" t="str">
        <v>0.374844</v>
      </c>
      <c r="AG55" t="str">
        <v>1.96914</v>
      </c>
      <c r="AH55" t="str">
        <v>0</v>
      </c>
      <c r="AI55" t="str">
        <v>0.374844</v>
      </c>
    </row>
    <row r="56" spans="1:35" x14ac:dyDescent="0.35">
      <c r="A56" t="s">
        <v>544</v>
      </c>
      <c r="K56" t="str" cm="1">
        <f t="array" ref="K56:Q56">_xlfn.TEXTSPLIT(A56, ",")</f>
        <v>42.5</v>
      </c>
      <c r="L56" t="str">
        <v>17.2307</v>
      </c>
      <c r="M56" t="str">
        <v>0.900761</v>
      </c>
      <c r="N56" t="str">
        <v>0.588865</v>
      </c>
      <c r="O56" t="str">
        <v>1.91717</v>
      </c>
      <c r="P56" t="str">
        <v>0</v>
      </c>
      <c r="Q56" t="str">
        <v>0.588865</v>
      </c>
      <c r="S56" t="s">
        <v>565</v>
      </c>
      <c r="AC56" t="str" cm="1">
        <f t="array" ref="AC56:AI56">_xlfn.TEXTSPLIT(S56, ",")</f>
        <v>42.5</v>
      </c>
      <c r="AD56" t="str">
        <v>17.6791</v>
      </c>
      <c r="AE56" t="str">
        <v>0.902035</v>
      </c>
      <c r="AF56" t="str">
        <v>0.374844</v>
      </c>
      <c r="AG56" t="str">
        <v>1.96914</v>
      </c>
      <c r="AH56" t="str">
        <v>0</v>
      </c>
      <c r="AI56" t="str">
        <v>0.374844</v>
      </c>
    </row>
    <row r="57" spans="1:35" x14ac:dyDescent="0.35">
      <c r="A57" t="s">
        <v>545</v>
      </c>
      <c r="K57" t="str" cm="1">
        <f t="array" ref="K57:Q57">_xlfn.TEXTSPLIT(A57, ",")</f>
        <v>45</v>
      </c>
      <c r="L57" t="str">
        <v>17.2446</v>
      </c>
      <c r="M57" t="str">
        <v>0.901372</v>
      </c>
      <c r="N57" t="str">
        <v>0.606709</v>
      </c>
      <c r="O57" t="str">
        <v>1.91683</v>
      </c>
      <c r="P57" t="str">
        <v>0</v>
      </c>
      <c r="Q57" t="str">
        <v>0.606709</v>
      </c>
      <c r="S57" t="s">
        <v>566</v>
      </c>
      <c r="AC57" t="str" cm="1">
        <f t="array" ref="AC57:AI57">_xlfn.TEXTSPLIT(S57, ",")</f>
        <v>45</v>
      </c>
      <c r="AD57" t="str">
        <v>17.5992</v>
      </c>
      <c r="AE57" t="str">
        <v>0.901575</v>
      </c>
      <c r="AF57" t="str">
        <v>0.364431</v>
      </c>
      <c r="AG57" t="str">
        <v>1.96935</v>
      </c>
      <c r="AH57" t="str">
        <v>0</v>
      </c>
      <c r="AI57" t="str">
        <v>0.364431</v>
      </c>
    </row>
    <row r="58" spans="1:35" x14ac:dyDescent="0.35">
      <c r="A58" t="s">
        <v>546</v>
      </c>
      <c r="K58" t="str" cm="1">
        <f t="array" ref="K58:Q58">_xlfn.TEXTSPLIT(A58, ",")</f>
        <v>47.5</v>
      </c>
      <c r="L58" t="str">
        <v>0.000502</v>
      </c>
      <c r="M58" t="str">
        <v>0</v>
      </c>
      <c r="N58" t="str">
        <v>99.9286</v>
      </c>
      <c r="O58" t="str">
        <v>13441.7</v>
      </c>
      <c r="P58" t="str">
        <v>0</v>
      </c>
      <c r="Q58" t="str">
        <v>99.9286</v>
      </c>
      <c r="S58" t="s">
        <v>567</v>
      </c>
      <c r="AC58" t="str" cm="1">
        <f t="array" ref="AC58:AI58">_xlfn.TEXTSPLIT(S58, ",")</f>
        <v>47.5</v>
      </c>
      <c r="AD58" t="str">
        <v>0.000502</v>
      </c>
      <c r="AE58" t="str">
        <v>0</v>
      </c>
      <c r="AF58" t="str">
        <v>99.9584</v>
      </c>
      <c r="AG58" t="str">
        <v>13441.7</v>
      </c>
      <c r="AH58" t="str">
        <v>0</v>
      </c>
      <c r="AI58" t="str">
        <v>99.9584</v>
      </c>
    </row>
    <row r="59" spans="1:35" x14ac:dyDescent="0.35">
      <c r="A59" t="s">
        <v>547</v>
      </c>
      <c r="K59" t="str" cm="1">
        <f t="array" ref="K59:Q59">_xlfn.TEXTSPLIT(A59, ",")</f>
        <v>50</v>
      </c>
      <c r="L59" t="str">
        <v>17.3362</v>
      </c>
      <c r="M59" t="str">
        <v>0.901372</v>
      </c>
      <c r="N59" t="str">
        <v>0.606709</v>
      </c>
      <c r="O59" t="str">
        <v>1.91683</v>
      </c>
      <c r="P59" t="str">
        <v>0</v>
      </c>
      <c r="Q59" t="str">
        <v>0.606709</v>
      </c>
      <c r="S59" t="s">
        <v>568</v>
      </c>
      <c r="AC59" t="str" cm="1">
        <f t="array" ref="AC59:AI59">_xlfn.TEXTSPLIT(S59, ",")</f>
        <v>50</v>
      </c>
      <c r="AD59" t="str">
        <v>17.7301</v>
      </c>
      <c r="AE59" t="str">
        <v>0.90214</v>
      </c>
      <c r="AF59" t="str">
        <v>0.374844</v>
      </c>
      <c r="AG59" t="str">
        <v>1.96914</v>
      </c>
      <c r="AH59" t="str">
        <v>0</v>
      </c>
      <c r="AI59" t="str">
        <v>0.374844</v>
      </c>
    </row>
    <row r="60" spans="1:35" x14ac:dyDescent="0.35">
      <c r="A60" t="s">
        <v>590</v>
      </c>
    </row>
    <row r="61" spans="1:35" x14ac:dyDescent="0.35">
      <c r="A61" t="s">
        <v>447</v>
      </c>
      <c r="K61" t="str" cm="1">
        <f t="array" ref="K61:Q61">_xlfn.TEXTSPLIT(A61, ",")</f>
        <v>Speed(m/s)</v>
      </c>
      <c r="L61" t="str">
        <v>AvgDelay(ms)</v>
      </c>
      <c r="M61" t="str">
        <v>Jitter(ms)</v>
      </c>
      <c r="N61" t="str">
        <v>PacketLoss(%)</v>
      </c>
      <c r="O61" t="str">
        <v>Throughput(Mbps)</v>
      </c>
      <c r="P61" t="str">
        <v>AvgSINR(dB)</v>
      </c>
      <c r="Q61" t="str">
        <v>BLER(%)</v>
      </c>
    </row>
    <row r="62" spans="1:35" x14ac:dyDescent="0.35">
      <c r="A62" t="s">
        <v>569</v>
      </c>
      <c r="K62" t="str" cm="1">
        <f t="array" ref="K62:Q62">_xlfn.TEXTSPLIT(A62, ",")</f>
        <v>0</v>
      </c>
      <c r="L62" t="str">
        <v>19.7898</v>
      </c>
      <c r="M62" t="str">
        <v>0.225307</v>
      </c>
      <c r="N62" t="str">
        <v>23.2603</v>
      </c>
      <c r="O62" t="str">
        <v>7.70448</v>
      </c>
      <c r="P62" t="str">
        <v>0</v>
      </c>
      <c r="Q62" t="str">
        <v>23.2603</v>
      </c>
    </row>
    <row r="63" spans="1:35" x14ac:dyDescent="0.35">
      <c r="A63" t="s">
        <v>570</v>
      </c>
      <c r="K63" t="str" cm="1">
        <f t="array" ref="K63:Q63">_xlfn.TEXTSPLIT(A63, ",")</f>
        <v>2.5</v>
      </c>
      <c r="L63" t="str">
        <v>0.000502</v>
      </c>
      <c r="M63" t="str">
        <v>0</v>
      </c>
      <c r="N63" t="str">
        <v>99.9955</v>
      </c>
      <c r="O63" t="str">
        <v>13441.7</v>
      </c>
      <c r="P63" t="str">
        <v>0</v>
      </c>
      <c r="Q63" t="str">
        <v>99.9955</v>
      </c>
    </row>
    <row r="64" spans="1:35" x14ac:dyDescent="0.35">
      <c r="A64" t="s">
        <v>571</v>
      </c>
      <c r="K64" t="str" cm="1">
        <f t="array" ref="K64:Q64">_xlfn.TEXTSPLIT(A64, ",")</f>
        <v>5</v>
      </c>
      <c r="L64" t="str">
        <v>19.1589</v>
      </c>
      <c r="M64" t="str">
        <v>0.225854</v>
      </c>
      <c r="N64" t="str">
        <v>45.5082</v>
      </c>
      <c r="O64" t="str">
        <v>7.98999</v>
      </c>
      <c r="P64" t="str">
        <v>0</v>
      </c>
      <c r="Q64" t="str">
        <v>45.5082</v>
      </c>
    </row>
    <row r="65" spans="1:17" x14ac:dyDescent="0.35">
      <c r="A65" t="s">
        <v>572</v>
      </c>
      <c r="K65" t="str" cm="1">
        <f t="array" ref="K65:Q65">_xlfn.TEXTSPLIT(A65, ",")</f>
        <v>7.5</v>
      </c>
      <c r="L65" t="str">
        <v>202.621</v>
      </c>
      <c r="M65" t="str">
        <v>1.23621</v>
      </c>
      <c r="N65" t="str">
        <v>99.8818</v>
      </c>
      <c r="O65" t="str">
        <v>0.259926</v>
      </c>
      <c r="P65" t="str">
        <v>0</v>
      </c>
      <c r="Q65" t="str">
        <v>99.8818</v>
      </c>
    </row>
    <row r="66" spans="1:17" x14ac:dyDescent="0.35">
      <c r="A66" t="s">
        <v>573</v>
      </c>
      <c r="K66" t="str" cm="1">
        <f t="array" ref="K66:Q66">_xlfn.TEXTSPLIT(A66, ",")</f>
        <v>10</v>
      </c>
      <c r="L66" t="str">
        <v>19.7701</v>
      </c>
      <c r="M66" t="str">
        <v>0.235066</v>
      </c>
      <c r="N66" t="str">
        <v>19.3866</v>
      </c>
      <c r="O66" t="str">
        <v>8.16567</v>
      </c>
      <c r="P66" t="str">
        <v>0</v>
      </c>
      <c r="Q66" t="str">
        <v>19.3866</v>
      </c>
    </row>
    <row r="67" spans="1:17" x14ac:dyDescent="0.35">
      <c r="A67" t="s">
        <v>574</v>
      </c>
      <c r="K67" t="str" cm="1">
        <f t="array" ref="K67:Q67">_xlfn.TEXTSPLIT(A67, ",")</f>
        <v>12.5</v>
      </c>
      <c r="L67" t="str">
        <v>21.8435</v>
      </c>
      <c r="M67" t="str">
        <v>0.22986</v>
      </c>
      <c r="N67" t="str">
        <v>18.3276</v>
      </c>
      <c r="O67" t="str">
        <v>8.39133</v>
      </c>
      <c r="P67" t="str">
        <v>0</v>
      </c>
      <c r="Q67" t="str">
        <v>18.3276</v>
      </c>
    </row>
    <row r="68" spans="1:17" x14ac:dyDescent="0.35">
      <c r="A68" t="s">
        <v>575</v>
      </c>
      <c r="K68" t="str" cm="1">
        <f t="array" ref="K68:Q68">_xlfn.TEXTSPLIT(A68, ",")</f>
        <v>15</v>
      </c>
      <c r="L68" t="str">
        <v>21.4318</v>
      </c>
      <c r="M68" t="str">
        <v>0.230069</v>
      </c>
      <c r="N68" t="str">
        <v>16.164</v>
      </c>
      <c r="O68" t="str">
        <v>8.41598</v>
      </c>
      <c r="P68" t="str">
        <v>0</v>
      </c>
      <c r="Q68" t="str">
        <v>16.164</v>
      </c>
    </row>
    <row r="69" spans="1:17" x14ac:dyDescent="0.35">
      <c r="A69" t="s">
        <v>576</v>
      </c>
      <c r="K69" t="str" cm="1">
        <f t="array" ref="K69:Q69">_xlfn.TEXTSPLIT(A69, ",")</f>
        <v>17.5</v>
      </c>
      <c r="L69" t="str">
        <v>22.1905</v>
      </c>
      <c r="M69" t="str">
        <v>0.230008</v>
      </c>
      <c r="N69" t="str">
        <v>16.1459</v>
      </c>
      <c r="O69" t="str">
        <v>8.41828</v>
      </c>
      <c r="P69" t="str">
        <v>0</v>
      </c>
      <c r="Q69" t="str">
        <v>16.1459</v>
      </c>
    </row>
    <row r="70" spans="1:17" x14ac:dyDescent="0.35">
      <c r="A70" t="s">
        <v>577</v>
      </c>
      <c r="K70" t="str" cm="1">
        <f t="array" ref="K70:Q70">_xlfn.TEXTSPLIT(A70, ",")</f>
        <v>20</v>
      </c>
      <c r="L70" t="str">
        <v>22.8978</v>
      </c>
      <c r="M70" t="str">
        <v>0.228874</v>
      </c>
      <c r="N70" t="str">
        <v>15.8993</v>
      </c>
      <c r="O70" t="str">
        <v>8.44256</v>
      </c>
      <c r="P70" t="str">
        <v>0</v>
      </c>
      <c r="Q70" t="str">
        <v>15.8993</v>
      </c>
    </row>
    <row r="71" spans="1:17" x14ac:dyDescent="0.35">
      <c r="A71" t="s">
        <v>578</v>
      </c>
      <c r="K71" t="str" cm="1">
        <f t="array" ref="K71:Q71">_xlfn.TEXTSPLIT(A71, ",")</f>
        <v>22.5</v>
      </c>
      <c r="L71" t="str">
        <v>0.000502</v>
      </c>
      <c r="M71" t="str">
        <v>0</v>
      </c>
      <c r="N71" t="str">
        <v>99.9955</v>
      </c>
      <c r="O71" t="str">
        <v>13441.7</v>
      </c>
      <c r="P71" t="str">
        <v>0</v>
      </c>
      <c r="Q71" t="str">
        <v>99.9955</v>
      </c>
    </row>
    <row r="72" spans="1:17" x14ac:dyDescent="0.35">
      <c r="A72" t="s">
        <v>579</v>
      </c>
      <c r="K72" t="str" cm="1">
        <f t="array" ref="K72:Q72">_xlfn.TEXTSPLIT(A72, ",")</f>
        <v>25</v>
      </c>
      <c r="L72" t="str">
        <v>20.7806</v>
      </c>
      <c r="M72" t="str">
        <v>0.222305</v>
      </c>
      <c r="N72" t="str">
        <v>13.7755</v>
      </c>
      <c r="O72" t="str">
        <v>8.65576</v>
      </c>
      <c r="P72" t="str">
        <v>0</v>
      </c>
      <c r="Q72" t="str">
        <v>13.7755</v>
      </c>
    </row>
    <row r="73" spans="1:17" x14ac:dyDescent="0.35">
      <c r="A73" t="s">
        <v>580</v>
      </c>
      <c r="K73" t="str" cm="1">
        <f t="array" ref="K73:Q73">_xlfn.TEXTSPLIT(A73, ",")</f>
        <v>27.5</v>
      </c>
      <c r="L73" t="str">
        <v>25.2916</v>
      </c>
      <c r="M73" t="str">
        <v>0.22262</v>
      </c>
      <c r="N73" t="str">
        <v>13.8039</v>
      </c>
      <c r="O73" t="str">
        <v>8.65242</v>
      </c>
      <c r="P73" t="str">
        <v>0</v>
      </c>
      <c r="Q73" t="str">
        <v>13.8039</v>
      </c>
    </row>
    <row r="74" spans="1:17" x14ac:dyDescent="0.35">
      <c r="A74" t="s">
        <v>581</v>
      </c>
      <c r="K74" t="str" cm="1">
        <f t="array" ref="K74:Q74">_xlfn.TEXTSPLIT(A74, ",")</f>
        <v>30</v>
      </c>
      <c r="L74" t="str">
        <v>23.5327</v>
      </c>
      <c r="M74" t="str">
        <v>0.220365</v>
      </c>
      <c r="N74" t="str">
        <v>13.146</v>
      </c>
      <c r="O74" t="str">
        <v>8.71798</v>
      </c>
      <c r="P74" t="str">
        <v>0</v>
      </c>
      <c r="Q74" t="str">
        <v>13.146</v>
      </c>
    </row>
    <row r="75" spans="1:17" x14ac:dyDescent="0.35">
      <c r="A75" t="s">
        <v>582</v>
      </c>
      <c r="K75" t="str" cm="1">
        <f t="array" ref="K75:Q75">_xlfn.TEXTSPLIT(A75, ",")</f>
        <v>32.5</v>
      </c>
      <c r="L75" t="str">
        <v>80.7995</v>
      </c>
      <c r="M75" t="str">
        <v>0.420124</v>
      </c>
      <c r="N75" t="str">
        <v>99.1398</v>
      </c>
      <c r="O75" t="str">
        <v>1.73586</v>
      </c>
      <c r="P75" t="str">
        <v>0</v>
      </c>
      <c r="Q75" t="str">
        <v>99.1398</v>
      </c>
    </row>
    <row r="76" spans="1:17" x14ac:dyDescent="0.35">
      <c r="A76" t="s">
        <v>583</v>
      </c>
      <c r="K76" t="str" cm="1">
        <f t="array" ref="K76:Q76">_xlfn.TEXTSPLIT(A76, ",")</f>
        <v>35</v>
      </c>
      <c r="L76" t="str">
        <v>0.000502</v>
      </c>
      <c r="M76" t="str">
        <v>0</v>
      </c>
      <c r="N76" t="str">
        <v>99.9955</v>
      </c>
      <c r="O76" t="str">
        <v>13441.7</v>
      </c>
      <c r="P76" t="str">
        <v>0</v>
      </c>
      <c r="Q76" t="str">
        <v>99.9955</v>
      </c>
    </row>
    <row r="77" spans="1:17" x14ac:dyDescent="0.35">
      <c r="A77" t="s">
        <v>584</v>
      </c>
      <c r="K77" t="str" cm="1">
        <f t="array" ref="K77:Q77">_xlfn.TEXTSPLIT(A77, ",")</f>
        <v>37.5</v>
      </c>
      <c r="L77" t="str">
        <v>0.000502</v>
      </c>
      <c r="M77" t="str">
        <v>0</v>
      </c>
      <c r="N77" t="str">
        <v>99.9955</v>
      </c>
      <c r="O77" t="str">
        <v>13441.7</v>
      </c>
      <c r="P77" t="str">
        <v>0</v>
      </c>
      <c r="Q77" t="str">
        <v>99.9955</v>
      </c>
    </row>
    <row r="78" spans="1:17" x14ac:dyDescent="0.35">
      <c r="A78" t="s">
        <v>585</v>
      </c>
      <c r="K78" t="str" cm="1">
        <f t="array" ref="K78:Q78">_xlfn.TEXTSPLIT(A78, ",")</f>
        <v>40</v>
      </c>
      <c r="L78" t="str">
        <v>30.9022</v>
      </c>
      <c r="M78" t="str">
        <v>0.219719</v>
      </c>
      <c r="N78" t="str">
        <v>25.042</v>
      </c>
      <c r="O78" t="str">
        <v>8.57067</v>
      </c>
      <c r="P78" t="str">
        <v>0</v>
      </c>
      <c r="Q78" t="str">
        <v>25.042</v>
      </c>
    </row>
    <row r="79" spans="1:17" x14ac:dyDescent="0.35">
      <c r="A79" t="s">
        <v>586</v>
      </c>
      <c r="K79" t="str" cm="1">
        <f t="array" ref="K79:Q79">_xlfn.TEXTSPLIT(A79, ",")</f>
        <v>42.5</v>
      </c>
      <c r="L79" t="str">
        <v>35.7546</v>
      </c>
      <c r="M79" t="str">
        <v>0.218667</v>
      </c>
      <c r="N79" t="str">
        <v>29.9964</v>
      </c>
      <c r="O79" t="str">
        <v>8.62165</v>
      </c>
      <c r="P79" t="str">
        <v>0</v>
      </c>
      <c r="Q79" t="str">
        <v>29.9964</v>
      </c>
    </row>
    <row r="80" spans="1:17" x14ac:dyDescent="0.35">
      <c r="A80" t="s">
        <v>587</v>
      </c>
      <c r="K80" t="str" cm="1">
        <f t="array" ref="K80:Q80">_xlfn.TEXTSPLIT(A80, ",")</f>
        <v>45</v>
      </c>
      <c r="L80" t="str">
        <v>18.813</v>
      </c>
      <c r="M80" t="str">
        <v>0.226022</v>
      </c>
      <c r="N80" t="str">
        <v>93.2344</v>
      </c>
      <c r="O80" t="str">
        <v>6.69325</v>
      </c>
      <c r="P80" t="str">
        <v>0</v>
      </c>
      <c r="Q80" t="str">
        <v>93.2344</v>
      </c>
    </row>
    <row r="81" spans="1:17" x14ac:dyDescent="0.35">
      <c r="A81" t="s">
        <v>588</v>
      </c>
      <c r="K81" t="str" cm="1">
        <f t="array" ref="K81:Q81">_xlfn.TEXTSPLIT(A81, ",")</f>
        <v>47.5</v>
      </c>
      <c r="L81" t="str">
        <v>0.000502</v>
      </c>
      <c r="M81" t="str">
        <v>0</v>
      </c>
      <c r="N81" t="str">
        <v>99.9955</v>
      </c>
      <c r="O81" t="str">
        <v>13441.7</v>
      </c>
      <c r="P81" t="str">
        <v>0</v>
      </c>
      <c r="Q81" t="str">
        <v>99.9955</v>
      </c>
    </row>
    <row r="82" spans="1:17" x14ac:dyDescent="0.35">
      <c r="A82" t="s">
        <v>589</v>
      </c>
      <c r="K82" t="str" cm="1">
        <f t="array" ref="K82:Q82">_xlfn.TEXTSPLIT(A82, ",")</f>
        <v>50</v>
      </c>
      <c r="L82" t="str">
        <v>18.8227</v>
      </c>
      <c r="M82" t="str">
        <v>0.222663</v>
      </c>
      <c r="N82" t="str">
        <v>94.5821</v>
      </c>
      <c r="O82" t="str">
        <v>6.3748</v>
      </c>
      <c r="P82" t="str">
        <v>0</v>
      </c>
      <c r="Q82" t="str">
        <v>94.5821</v>
      </c>
    </row>
    <row r="84" spans="1:17" x14ac:dyDescent="0.35">
      <c r="A84" t="s">
        <v>592</v>
      </c>
    </row>
    <row r="85" spans="1:17" x14ac:dyDescent="0.35">
      <c r="A85" t="s">
        <v>447</v>
      </c>
      <c r="K85" t="str" cm="1">
        <f t="array" ref="K85:Q85">_xlfn.TEXTSPLIT(A85,",")</f>
        <v>Speed(m/s)</v>
      </c>
      <c r="L85" t="str">
        <v>AvgDelay(ms)</v>
      </c>
      <c r="M85" t="str">
        <v>Jitter(ms)</v>
      </c>
      <c r="N85" t="str">
        <v>PacketLoss(%)</v>
      </c>
      <c r="O85" t="str">
        <v>Throughput(Mbps)</v>
      </c>
      <c r="P85" t="str">
        <v>AvgSINR(dB)</v>
      </c>
      <c r="Q85" t="str">
        <v>BLER(%)</v>
      </c>
    </row>
    <row r="86" spans="1:17" x14ac:dyDescent="0.35">
      <c r="A86" t="s">
        <v>593</v>
      </c>
      <c r="K86" t="str" cm="1">
        <f t="array" ref="K86:Q86">_xlfn.TEXTSPLIT(A86,",")</f>
        <v>0</v>
      </c>
      <c r="L86" t="str">
        <v>19.7729</v>
      </c>
      <c r="M86" t="str">
        <v>0.225404</v>
      </c>
      <c r="N86" t="str">
        <v>23.1225</v>
      </c>
      <c r="O86" t="str">
        <v>7.73374</v>
      </c>
      <c r="P86" t="str">
        <v>0</v>
      </c>
      <c r="Q86" t="str">
        <v>23.1225</v>
      </c>
    </row>
    <row r="87" spans="1:17" x14ac:dyDescent="0.35">
      <c r="A87" t="s">
        <v>594</v>
      </c>
      <c r="K87" t="str" cm="1">
        <f t="array" ref="K87:Q87">_xlfn.TEXTSPLIT(A87,",")</f>
        <v>2.5</v>
      </c>
      <c r="L87" t="str">
        <v>0.000502</v>
      </c>
      <c r="M87" t="str">
        <v>0</v>
      </c>
      <c r="N87" t="str">
        <v>99.9959</v>
      </c>
      <c r="O87" t="str">
        <v>13441.7</v>
      </c>
      <c r="P87" t="str">
        <v>0</v>
      </c>
      <c r="Q87" t="str">
        <v>99.9959</v>
      </c>
    </row>
    <row r="88" spans="1:17" x14ac:dyDescent="0.35">
      <c r="A88" t="s">
        <v>595</v>
      </c>
      <c r="K88" t="str" cm="1">
        <f t="array" ref="K88:Q88">_xlfn.TEXTSPLIT(A88,",")</f>
        <v>5</v>
      </c>
      <c r="L88" t="str">
        <v>19.1589</v>
      </c>
      <c r="M88" t="str">
        <v>0.225854</v>
      </c>
      <c r="N88" t="str">
        <v>51.0683</v>
      </c>
      <c r="O88" t="str">
        <v>7.98999</v>
      </c>
      <c r="P88" t="str">
        <v>0</v>
      </c>
      <c r="Q88" t="str">
        <v>51.0683</v>
      </c>
    </row>
    <row r="89" spans="1:17" x14ac:dyDescent="0.35">
      <c r="A89" t="s">
        <v>596</v>
      </c>
      <c r="K89" t="str" cm="1">
        <f t="array" ref="K89:Q89">_xlfn.TEXTSPLIT(A89,",")</f>
        <v>7.5</v>
      </c>
      <c r="L89" t="str">
        <v>210.771</v>
      </c>
      <c r="M89" t="str">
        <v>1.23723</v>
      </c>
      <c r="N89" t="str">
        <v>99.8939</v>
      </c>
      <c r="O89" t="str">
        <v>0.259926</v>
      </c>
      <c r="P89" t="str">
        <v>0</v>
      </c>
      <c r="Q89" t="str">
        <v>99.8939</v>
      </c>
    </row>
    <row r="90" spans="1:17" x14ac:dyDescent="0.35">
      <c r="A90" t="s">
        <v>597</v>
      </c>
      <c r="K90" t="str" cm="1">
        <f t="array" ref="K90:Q90">_xlfn.TEXTSPLIT(A90,",")</f>
        <v>10</v>
      </c>
      <c r="L90" t="str">
        <v>21.3766</v>
      </c>
      <c r="M90" t="str">
        <v>0.233032</v>
      </c>
      <c r="N90" t="str">
        <v>17.3758</v>
      </c>
      <c r="O90" t="str">
        <v>8.31185</v>
      </c>
      <c r="P90" t="str">
        <v>0</v>
      </c>
      <c r="Q90" t="str">
        <v>17.3758</v>
      </c>
    </row>
    <row r="91" spans="1:17" x14ac:dyDescent="0.35">
      <c r="A91" t="s">
        <v>598</v>
      </c>
      <c r="K91" t="str" cm="1">
        <f t="array" ref="K91:Q91">_xlfn.TEXTSPLIT(A91,",")</f>
        <v>12.5</v>
      </c>
      <c r="L91" t="str">
        <v>21.8435</v>
      </c>
      <c r="M91" t="str">
        <v>0.22986</v>
      </c>
      <c r="N91" t="str">
        <v>26.6612</v>
      </c>
      <c r="O91" t="str">
        <v>8.39133</v>
      </c>
      <c r="P91" t="str">
        <v>0</v>
      </c>
      <c r="Q91" t="str">
        <v>26.6612</v>
      </c>
    </row>
    <row r="92" spans="1:17" x14ac:dyDescent="0.35">
      <c r="A92" t="s">
        <v>599</v>
      </c>
      <c r="K92" t="str" cm="1">
        <f t="array" ref="K92:Q92">_xlfn.TEXTSPLIT(A92,",")</f>
        <v>15</v>
      </c>
      <c r="L92" t="str">
        <v>21.1275</v>
      </c>
      <c r="M92" t="str">
        <v>0.229498</v>
      </c>
      <c r="N92" t="str">
        <v>15.9585</v>
      </c>
      <c r="O92" t="str">
        <v>8.45358</v>
      </c>
      <c r="P92" t="str">
        <v>0</v>
      </c>
      <c r="Q92" t="str">
        <v>15.9585</v>
      </c>
    </row>
    <row r="93" spans="1:17" x14ac:dyDescent="0.35">
      <c r="A93" t="s">
        <v>600</v>
      </c>
      <c r="K93" t="str" cm="1">
        <f t="array" ref="K93:Q93">_xlfn.TEXTSPLIT(A93,",")</f>
        <v>17.5</v>
      </c>
      <c r="L93" t="str">
        <v>22.2548</v>
      </c>
      <c r="M93" t="str">
        <v>0.228974</v>
      </c>
      <c r="N93" t="str">
        <v>15.7585</v>
      </c>
      <c r="O93" t="str">
        <v>8.47412</v>
      </c>
      <c r="P93" t="str">
        <v>0</v>
      </c>
      <c r="Q93" t="str">
        <v>15.7585</v>
      </c>
    </row>
    <row r="94" spans="1:17" x14ac:dyDescent="0.35">
      <c r="A94" t="s">
        <v>601</v>
      </c>
      <c r="K94" t="str" cm="1">
        <f t="array" ref="K94:Q94">_xlfn.TEXTSPLIT(A94,",")</f>
        <v>20</v>
      </c>
      <c r="L94" t="str">
        <v>22.3338</v>
      </c>
      <c r="M94" t="str">
        <v>0.226154</v>
      </c>
      <c r="N94" t="str">
        <v>15.0055</v>
      </c>
      <c r="O94" t="str">
        <v>8.54901</v>
      </c>
      <c r="P94" t="str">
        <v>0</v>
      </c>
      <c r="Q94" t="str">
        <v>15.0055</v>
      </c>
    </row>
    <row r="95" spans="1:17" x14ac:dyDescent="0.35">
      <c r="A95" t="s">
        <v>602</v>
      </c>
      <c r="K95" t="str" cm="1">
        <f t="array" ref="K95:Q95">_xlfn.TEXTSPLIT(A95,",")</f>
        <v>22.5</v>
      </c>
      <c r="L95" t="str">
        <v>0.000502</v>
      </c>
      <c r="M95" t="str">
        <v>0</v>
      </c>
      <c r="N95" t="str">
        <v>99.9959</v>
      </c>
      <c r="O95" t="str">
        <v>13441.7</v>
      </c>
      <c r="P95" t="str">
        <v>0</v>
      </c>
      <c r="Q95" t="str">
        <v>99.9959</v>
      </c>
    </row>
    <row r="96" spans="1:17" x14ac:dyDescent="0.35">
      <c r="A96" t="s">
        <v>603</v>
      </c>
      <c r="K96" t="str" cm="1">
        <f t="array" ref="K96:Q96">_xlfn.TEXTSPLIT(A96,",")</f>
        <v>25</v>
      </c>
      <c r="L96" t="str">
        <v>19.2707</v>
      </c>
      <c r="M96" t="str">
        <v>0.218715</v>
      </c>
      <c r="N96" t="str">
        <v>12.6607</v>
      </c>
      <c r="O96" t="str">
        <v>8.78486</v>
      </c>
      <c r="P96" t="str">
        <v>0</v>
      </c>
      <c r="Q96" t="str">
        <v>12.6607</v>
      </c>
    </row>
    <row r="97" spans="1:17" x14ac:dyDescent="0.35">
      <c r="A97" t="s">
        <v>604</v>
      </c>
      <c r="K97" t="str" cm="1">
        <f t="array" ref="K97:Q97">_xlfn.TEXTSPLIT(A97,",")</f>
        <v>27.5</v>
      </c>
      <c r="L97" t="str">
        <v>22.5369</v>
      </c>
      <c r="M97" t="str">
        <v>0.220367</v>
      </c>
      <c r="N97" t="str">
        <v>13.9739</v>
      </c>
      <c r="O97" t="str">
        <v>8.68279</v>
      </c>
      <c r="P97" t="str">
        <v>0</v>
      </c>
      <c r="Q97" t="str">
        <v>13.9739</v>
      </c>
    </row>
    <row r="98" spans="1:17" x14ac:dyDescent="0.35">
      <c r="A98" t="s">
        <v>605</v>
      </c>
      <c r="K98" t="str" cm="1">
        <f t="array" ref="K98:Q98">_xlfn.TEXTSPLIT(A98,",")</f>
        <v>30</v>
      </c>
      <c r="L98" t="str">
        <v>27.3436</v>
      </c>
      <c r="M98" t="str">
        <v>0.219048</v>
      </c>
      <c r="N98" t="str">
        <v>12.7403</v>
      </c>
      <c r="O98" t="str">
        <v>8.77773</v>
      </c>
      <c r="P98" t="str">
        <v>0</v>
      </c>
      <c r="Q98" t="str">
        <v>12.7403</v>
      </c>
    </row>
    <row r="99" spans="1:17" x14ac:dyDescent="0.35">
      <c r="A99" t="s">
        <v>606</v>
      </c>
      <c r="K99" t="str" cm="1">
        <f t="array" ref="K99:Q99">_xlfn.TEXTSPLIT(A99,",")</f>
        <v>32.5</v>
      </c>
      <c r="L99" t="str">
        <v>78.841</v>
      </c>
      <c r="M99" t="str">
        <v>0.435866</v>
      </c>
      <c r="N99" t="str">
        <v>99.2541</v>
      </c>
      <c r="O99" t="str">
        <v>1.67444</v>
      </c>
      <c r="P99" t="str">
        <v>0</v>
      </c>
      <c r="Q99" t="str">
        <v>99.2541</v>
      </c>
    </row>
    <row r="100" spans="1:17" x14ac:dyDescent="0.35">
      <c r="A100" t="s">
        <v>607</v>
      </c>
      <c r="K100" t="str" cm="1">
        <f t="array" ref="K100:Q100">_xlfn.TEXTSPLIT(A100,",")</f>
        <v>35</v>
      </c>
      <c r="L100" t="str">
        <v>0.000502</v>
      </c>
      <c r="M100" t="str">
        <v>0</v>
      </c>
      <c r="N100" t="str">
        <v>99.9959</v>
      </c>
      <c r="O100" t="str">
        <v>13441.7</v>
      </c>
      <c r="P100" t="str">
        <v>0</v>
      </c>
      <c r="Q100" t="str">
        <v>99.9959</v>
      </c>
    </row>
    <row r="101" spans="1:17" x14ac:dyDescent="0.35">
      <c r="A101" t="s">
        <v>608</v>
      </c>
      <c r="K101" t="str" cm="1">
        <f t="array" ref="K101:Q101">_xlfn.TEXTSPLIT(A101,",")</f>
        <v>37.5</v>
      </c>
      <c r="L101" t="str">
        <v>0.000502</v>
      </c>
      <c r="M101" t="str">
        <v>0</v>
      </c>
      <c r="N101" t="str">
        <v>99.9959</v>
      </c>
      <c r="O101" t="str">
        <v>13441.7</v>
      </c>
      <c r="P101" t="str">
        <v>0</v>
      </c>
      <c r="Q101" t="str">
        <v>99.9959</v>
      </c>
    </row>
    <row r="102" spans="1:17" x14ac:dyDescent="0.35">
      <c r="A102" t="s">
        <v>609</v>
      </c>
      <c r="K102" t="str" cm="1">
        <f t="array" ref="K102:Q102">_xlfn.TEXTSPLIT(A102,",")</f>
        <v>40</v>
      </c>
      <c r="L102" t="str">
        <v>31.2347</v>
      </c>
      <c r="M102" t="str">
        <v>0.220599</v>
      </c>
      <c r="N102" t="str">
        <v>32.9129</v>
      </c>
      <c r="O102" t="str">
        <v>8.55916</v>
      </c>
      <c r="P102" t="str">
        <v>0</v>
      </c>
      <c r="Q102" t="str">
        <v>32.9129</v>
      </c>
    </row>
    <row r="103" spans="1:17" x14ac:dyDescent="0.35">
      <c r="A103" t="s">
        <v>610</v>
      </c>
      <c r="K103" t="str" cm="1">
        <f t="array" ref="K103:Q103">_xlfn.TEXTSPLIT(A103,",")</f>
        <v>42.5</v>
      </c>
      <c r="L103" t="str">
        <v>35.7596</v>
      </c>
      <c r="M103" t="str">
        <v>0.218624</v>
      </c>
      <c r="N103" t="str">
        <v>37.1607</v>
      </c>
      <c r="O103" t="str">
        <v>8.62519</v>
      </c>
      <c r="P103" t="str">
        <v>0</v>
      </c>
      <c r="Q103" t="str">
        <v>37.1607</v>
      </c>
    </row>
    <row r="104" spans="1:17" x14ac:dyDescent="0.35">
      <c r="A104" t="s">
        <v>611</v>
      </c>
      <c r="K104" t="str" cm="1">
        <f t="array" ref="K104:Q104">_xlfn.TEXTSPLIT(A104,",")</f>
        <v>45</v>
      </c>
      <c r="L104" t="str">
        <v>18.813</v>
      </c>
      <c r="M104" t="str">
        <v>0.226022</v>
      </c>
      <c r="N104" t="str">
        <v>93.9247</v>
      </c>
      <c r="O104" t="str">
        <v>6.69325</v>
      </c>
      <c r="P104" t="str">
        <v>0</v>
      </c>
      <c r="Q104" t="str">
        <v>93.9247</v>
      </c>
    </row>
    <row r="105" spans="1:17" x14ac:dyDescent="0.35">
      <c r="A105" t="s">
        <v>612</v>
      </c>
      <c r="K105" t="str" cm="1">
        <f t="array" ref="K105:Q105">_xlfn.TEXTSPLIT(A105,",")</f>
        <v>47.5</v>
      </c>
      <c r="L105" t="str">
        <v>0.000502</v>
      </c>
      <c r="M105" t="str">
        <v>0</v>
      </c>
      <c r="N105" t="str">
        <v>99.9959</v>
      </c>
      <c r="O105" t="str">
        <v>13441.7</v>
      </c>
      <c r="P105" t="str">
        <v>0</v>
      </c>
      <c r="Q105" t="str">
        <v>99.9959</v>
      </c>
    </row>
    <row r="106" spans="1:17" x14ac:dyDescent="0.35">
      <c r="A106" t="s">
        <v>613</v>
      </c>
      <c r="K106" t="str" cm="1">
        <f t="array" ref="K106:Q106">_xlfn.TEXTSPLIT(A106,",")</f>
        <v>50</v>
      </c>
      <c r="L106" t="str">
        <v>18.8227</v>
      </c>
      <c r="M106" t="str">
        <v>0.222663</v>
      </c>
      <c r="N106" t="str">
        <v>95.1349</v>
      </c>
      <c r="O106" t="str">
        <v>6.3748</v>
      </c>
      <c r="P106" t="str">
        <v>0</v>
      </c>
      <c r="Q106" t="str">
        <v>95.1349</v>
      </c>
    </row>
    <row r="108" spans="1:17" x14ac:dyDescent="0.35">
      <c r="A108" t="s">
        <v>614</v>
      </c>
    </row>
    <row r="109" spans="1:17" x14ac:dyDescent="0.35">
      <c r="A109" t="s">
        <v>447</v>
      </c>
      <c r="K109" t="str" cm="1">
        <f t="array" ref="K109:Q109">_xlfn.TEXTSPLIT(A109,",")</f>
        <v>Speed(m/s)</v>
      </c>
      <c r="L109" t="str">
        <v>AvgDelay(ms)</v>
      </c>
      <c r="M109" t="str">
        <v>Jitter(ms)</v>
      </c>
      <c r="N109" t="str">
        <v>PacketLoss(%)</v>
      </c>
      <c r="O109" t="str">
        <v>Throughput(Mbps)</v>
      </c>
      <c r="P109" t="str">
        <v>AvgSINR(dB)</v>
      </c>
      <c r="Q109" t="str">
        <v>BLER(%)</v>
      </c>
    </row>
    <row r="110" spans="1:17" x14ac:dyDescent="0.35">
      <c r="A110" t="s">
        <v>615</v>
      </c>
      <c r="K110" t="str" cm="1">
        <f t="array" ref="K110:Q110">_xlfn.TEXTSPLIT(A110,",")</f>
        <v>0</v>
      </c>
      <c r="L110" t="str">
        <v>19.75</v>
      </c>
      <c r="M110" t="str">
        <v>0.225462</v>
      </c>
      <c r="N110" t="str">
        <v>22.9555</v>
      </c>
      <c r="O110" t="str">
        <v>7.79689</v>
      </c>
      <c r="P110" t="str">
        <v>0</v>
      </c>
      <c r="Q110" t="str">
        <v>22.9555</v>
      </c>
    </row>
    <row r="111" spans="1:17" x14ac:dyDescent="0.35">
      <c r="A111" t="s">
        <v>616</v>
      </c>
      <c r="K111" t="str" cm="1">
        <f t="array" ref="K111:Q111">_xlfn.TEXTSPLIT(A111,",")</f>
        <v>2.5</v>
      </c>
      <c r="L111" t="str">
        <v>0.000502</v>
      </c>
      <c r="M111" t="str">
        <v>0</v>
      </c>
      <c r="N111" t="str">
        <v>99.9973</v>
      </c>
      <c r="O111" t="str">
        <v>13441.7</v>
      </c>
      <c r="P111" t="str">
        <v>0</v>
      </c>
      <c r="Q111" t="str">
        <v>99.9973</v>
      </c>
    </row>
    <row r="112" spans="1:17" x14ac:dyDescent="0.35">
      <c r="A112" t="s">
        <v>617</v>
      </c>
      <c r="K112" t="str" cm="1">
        <f t="array" ref="K112:Q112">_xlfn.TEXTSPLIT(A112,",")</f>
        <v>5</v>
      </c>
      <c r="L112" t="str">
        <v>19.1589</v>
      </c>
      <c r="M112" t="str">
        <v>0.225854</v>
      </c>
      <c r="N112" t="str">
        <v>67.5988</v>
      </c>
      <c r="O112" t="str">
        <v>7.98999</v>
      </c>
      <c r="P112" t="str">
        <v>0</v>
      </c>
      <c r="Q112" t="str">
        <v>67.5988</v>
      </c>
    </row>
    <row r="113" spans="1:17" x14ac:dyDescent="0.35">
      <c r="A113" t="s">
        <v>618</v>
      </c>
      <c r="K113" t="str" cm="1">
        <f t="array" ref="K113:Q113">_xlfn.TEXTSPLIT(A113,",")</f>
        <v>7.5</v>
      </c>
      <c r="L113" t="str">
        <v>202.621</v>
      </c>
      <c r="M113" t="str">
        <v>1.23621</v>
      </c>
      <c r="N113" t="str">
        <v>99.9297</v>
      </c>
      <c r="O113" t="str">
        <v>0.259926</v>
      </c>
      <c r="P113" t="str">
        <v>0</v>
      </c>
      <c r="Q113" t="str">
        <v>99.9297</v>
      </c>
    </row>
    <row r="114" spans="1:17" x14ac:dyDescent="0.35">
      <c r="A114" t="s">
        <v>619</v>
      </c>
      <c r="K114" t="str" cm="1">
        <f t="array" ref="K114:Q114">_xlfn.TEXTSPLIT(A114,",")</f>
        <v>10</v>
      </c>
      <c r="L114" t="str">
        <v>22.0643</v>
      </c>
      <c r="M114" t="str">
        <v>0.23024</v>
      </c>
      <c r="N114" t="str">
        <v>16.232</v>
      </c>
      <c r="O114" t="str">
        <v>8.47702</v>
      </c>
      <c r="P114" t="str">
        <v>0</v>
      </c>
      <c r="Q114" t="str">
        <v>16.232</v>
      </c>
    </row>
    <row r="115" spans="1:17" x14ac:dyDescent="0.35">
      <c r="A115" t="s">
        <v>620</v>
      </c>
      <c r="K115" t="str" cm="1">
        <f t="array" ref="K115:Q115">_xlfn.TEXTSPLIT(A115,",")</f>
        <v>12.5</v>
      </c>
      <c r="L115" t="str">
        <v>21.8435</v>
      </c>
      <c r="M115" t="str">
        <v>0.22986</v>
      </c>
      <c r="N115" t="str">
        <v>51.4371</v>
      </c>
      <c r="O115" t="str">
        <v>8.39133</v>
      </c>
      <c r="P115" t="str">
        <v>0</v>
      </c>
      <c r="Q115" t="str">
        <v>51.4371</v>
      </c>
    </row>
    <row r="116" spans="1:17" x14ac:dyDescent="0.35">
      <c r="A116" t="s">
        <v>621</v>
      </c>
      <c r="K116" t="str" cm="1">
        <f t="array" ref="K116:Q116">_xlfn.TEXTSPLIT(A116,",")</f>
        <v>15</v>
      </c>
      <c r="L116" t="str">
        <v>20.6476</v>
      </c>
      <c r="M116" t="str">
        <v>0.221969</v>
      </c>
      <c r="N116" t="str">
        <v>13.5186</v>
      </c>
      <c r="O116" t="str">
        <v>8.75073</v>
      </c>
      <c r="P116" t="str">
        <v>0</v>
      </c>
      <c r="Q116" t="str">
        <v>13.5186</v>
      </c>
    </row>
    <row r="117" spans="1:17" x14ac:dyDescent="0.35">
      <c r="A117" t="s">
        <v>622</v>
      </c>
      <c r="K117" t="str" cm="1">
        <f t="array" ref="K117:Q117">_xlfn.TEXTSPLIT(A117,",")</f>
        <v>17.5</v>
      </c>
      <c r="L117" t="str">
        <v>23.6336</v>
      </c>
      <c r="M117" t="str">
        <v>0.220276</v>
      </c>
      <c r="N117" t="str">
        <v>12.9774</v>
      </c>
      <c r="O117" t="str">
        <v>8.8055</v>
      </c>
      <c r="P117" t="str">
        <v>0</v>
      </c>
      <c r="Q117" t="str">
        <v>12.9774</v>
      </c>
    </row>
    <row r="118" spans="1:17" x14ac:dyDescent="0.35">
      <c r="A118" t="s">
        <v>623</v>
      </c>
      <c r="K118" t="str" cm="1">
        <f t="array" ref="K118:Q118">_xlfn.TEXTSPLIT(A118,",")</f>
        <v>20</v>
      </c>
      <c r="L118" t="str">
        <v>27.1986</v>
      </c>
      <c r="M118" t="str">
        <v>0.216306</v>
      </c>
      <c r="N118" t="str">
        <v>11.8368</v>
      </c>
      <c r="O118" t="str">
        <v>8.92358</v>
      </c>
      <c r="P118" t="str">
        <v>0</v>
      </c>
      <c r="Q118" t="str">
        <v>11.8368</v>
      </c>
    </row>
    <row r="119" spans="1:17" x14ac:dyDescent="0.35">
      <c r="A119" t="s">
        <v>624</v>
      </c>
      <c r="K119" t="str" cm="1">
        <f t="array" ref="K119:Q119">_xlfn.TEXTSPLIT(A119,",")</f>
        <v>22.5</v>
      </c>
      <c r="L119" t="str">
        <v>0.000502</v>
      </c>
      <c r="M119" t="str">
        <v>0</v>
      </c>
      <c r="N119" t="str">
        <v>99.9973</v>
      </c>
      <c r="O119" t="str">
        <v>13441.7</v>
      </c>
      <c r="P119" t="str">
        <v>0</v>
      </c>
      <c r="Q119" t="str">
        <v>99.9973</v>
      </c>
    </row>
    <row r="120" spans="1:17" x14ac:dyDescent="0.35">
      <c r="A120" t="s">
        <v>625</v>
      </c>
      <c r="K120" t="str" cm="1">
        <f t="array" ref="K120:Q120">_xlfn.TEXTSPLIT(A120,",")</f>
        <v>25</v>
      </c>
      <c r="L120" t="str">
        <v>30.4794</v>
      </c>
      <c r="M120" t="str">
        <v>0.221279</v>
      </c>
      <c r="N120" t="str">
        <v>24.3602</v>
      </c>
      <c r="O120" t="str">
        <v>8.65383</v>
      </c>
      <c r="P120" t="str">
        <v>0</v>
      </c>
      <c r="Q120" t="str">
        <v>24.3602</v>
      </c>
    </row>
    <row r="121" spans="1:17" x14ac:dyDescent="0.35">
      <c r="A121" t="s">
        <v>626</v>
      </c>
      <c r="K121" t="str" cm="1">
        <f t="array" ref="K121:Q121">_xlfn.TEXTSPLIT(A121,",")</f>
        <v>27.5</v>
      </c>
      <c r="L121" t="str">
        <v>29.9764</v>
      </c>
      <c r="M121" t="str">
        <v>0.220259</v>
      </c>
      <c r="N121" t="str">
        <v>29.0864</v>
      </c>
      <c r="O121" t="str">
        <v>8.67604</v>
      </c>
      <c r="P121" t="str">
        <v>0</v>
      </c>
      <c r="Q121" t="str">
        <v>29.0864</v>
      </c>
    </row>
    <row r="122" spans="1:17" x14ac:dyDescent="0.35">
      <c r="A122" t="s">
        <v>627</v>
      </c>
      <c r="K122" t="str" cm="1">
        <f t="array" ref="K122:Q122">_xlfn.TEXTSPLIT(A122,",")</f>
        <v>30</v>
      </c>
      <c r="L122" t="str">
        <v>31.6208</v>
      </c>
      <c r="M122" t="str">
        <v>0.223533</v>
      </c>
      <c r="N122" t="str">
        <v>34.9261</v>
      </c>
      <c r="O122" t="str">
        <v>8.55962</v>
      </c>
      <c r="P122" t="str">
        <v>0</v>
      </c>
      <c r="Q122" t="str">
        <v>34.9261</v>
      </c>
    </row>
    <row r="123" spans="1:17" x14ac:dyDescent="0.35">
      <c r="A123" t="s">
        <v>628</v>
      </c>
      <c r="K123" t="str" cm="1">
        <f t="array" ref="K123:Q123">_xlfn.TEXTSPLIT(A123,",")</f>
        <v>32.5</v>
      </c>
      <c r="L123" t="str">
        <v>79.4489</v>
      </c>
      <c r="M123" t="str">
        <v>0.445591</v>
      </c>
      <c r="N123" t="str">
        <v>99.5129</v>
      </c>
      <c r="O123" t="str">
        <v>1.64971</v>
      </c>
      <c r="P123" t="str">
        <v>0</v>
      </c>
      <c r="Q123" t="str">
        <v>99.5129</v>
      </c>
    </row>
    <row r="124" spans="1:17" x14ac:dyDescent="0.35">
      <c r="A124" t="s">
        <v>629</v>
      </c>
      <c r="K124" t="str" cm="1">
        <f t="array" ref="K124:Q124">_xlfn.TEXTSPLIT(A124,",")</f>
        <v>35</v>
      </c>
      <c r="L124" t="str">
        <v>0.000502</v>
      </c>
      <c r="M124" t="str">
        <v>0</v>
      </c>
      <c r="N124" t="str">
        <v>99.9973</v>
      </c>
      <c r="O124" t="str">
        <v>13441.7</v>
      </c>
      <c r="P124" t="str">
        <v>0</v>
      </c>
      <c r="Q124" t="str">
        <v>99.9973</v>
      </c>
    </row>
    <row r="125" spans="1:17" x14ac:dyDescent="0.35">
      <c r="A125" t="s">
        <v>630</v>
      </c>
      <c r="K125" t="str" cm="1">
        <f t="array" ref="K125:Q125">_xlfn.TEXTSPLIT(A125,",")</f>
        <v>37.5</v>
      </c>
      <c r="L125" t="str">
        <v>0.000502</v>
      </c>
      <c r="M125" t="str">
        <v>0</v>
      </c>
      <c r="N125" t="str">
        <v>99.9973</v>
      </c>
      <c r="O125" t="str">
        <v>13441.7</v>
      </c>
      <c r="P125" t="str">
        <v>0</v>
      </c>
      <c r="Q125" t="str">
        <v>99.9973</v>
      </c>
    </row>
    <row r="126" spans="1:17" x14ac:dyDescent="0.35">
      <c r="A126" t="s">
        <v>631</v>
      </c>
      <c r="K126" t="str" cm="1">
        <f t="array" ref="K126:Q126">_xlfn.TEXTSPLIT(A126,",")</f>
        <v>40</v>
      </c>
      <c r="L126" t="str">
        <v>31.3138</v>
      </c>
      <c r="M126" t="str">
        <v>0.221335</v>
      </c>
      <c r="N126" t="str">
        <v>55.6559</v>
      </c>
      <c r="O126" t="str">
        <v>8.52714</v>
      </c>
      <c r="P126" t="str">
        <v>0</v>
      </c>
      <c r="Q126" t="str">
        <v>55.6559</v>
      </c>
    </row>
    <row r="127" spans="1:17" x14ac:dyDescent="0.35">
      <c r="A127" t="s">
        <v>632</v>
      </c>
      <c r="K127" t="str" cm="1">
        <f t="array" ref="K127:Q127">_xlfn.TEXTSPLIT(A127,",")</f>
        <v>42.5</v>
      </c>
      <c r="L127" t="str">
        <v>37.0105</v>
      </c>
      <c r="M127" t="str">
        <v>0.222332</v>
      </c>
      <c r="N127" t="str">
        <v>58.0795</v>
      </c>
      <c r="O127" t="str">
        <v>8.45762</v>
      </c>
      <c r="P127" t="str">
        <v>0</v>
      </c>
      <c r="Q127" t="str">
        <v>58.0795</v>
      </c>
    </row>
    <row r="128" spans="1:17" x14ac:dyDescent="0.35">
      <c r="A128" t="s">
        <v>633</v>
      </c>
      <c r="K128" t="str" cm="1">
        <f t="array" ref="K128:Q128">_xlfn.TEXTSPLIT(A128,",")</f>
        <v>45</v>
      </c>
      <c r="L128" t="str">
        <v>18.813</v>
      </c>
      <c r="M128" t="str">
        <v>0.226022</v>
      </c>
      <c r="N128" t="str">
        <v>95.9771</v>
      </c>
      <c r="O128" t="str">
        <v>6.69325</v>
      </c>
      <c r="P128" t="str">
        <v>0</v>
      </c>
      <c r="Q128" t="str">
        <v>95.9771</v>
      </c>
    </row>
    <row r="129" spans="1:17" x14ac:dyDescent="0.35">
      <c r="A129" t="s">
        <v>634</v>
      </c>
      <c r="K129" t="str" cm="1">
        <f t="array" ref="K129:Q129">_xlfn.TEXTSPLIT(A129,",")</f>
        <v>47.5</v>
      </c>
      <c r="L129" t="str">
        <v>0.000502</v>
      </c>
      <c r="M129" t="str">
        <v>0</v>
      </c>
      <c r="N129" t="str">
        <v>99.9973</v>
      </c>
      <c r="O129" t="str">
        <v>13441.7</v>
      </c>
      <c r="P129" t="str">
        <v>0</v>
      </c>
      <c r="Q129" t="str">
        <v>99.9973</v>
      </c>
    </row>
    <row r="130" spans="1:17" x14ac:dyDescent="0.35">
      <c r="A130" t="s">
        <v>635</v>
      </c>
      <c r="K130" t="str" cm="1">
        <f t="array" ref="K130:Q130">_xlfn.TEXTSPLIT(A130,",")</f>
        <v>50</v>
      </c>
      <c r="L130" t="str">
        <v>18.8227</v>
      </c>
      <c r="M130" t="str">
        <v>0.222663</v>
      </c>
      <c r="N130" t="str">
        <v>96.7785</v>
      </c>
      <c r="O130" t="str">
        <v>6.3748</v>
      </c>
      <c r="P130" t="str">
        <v>0</v>
      </c>
      <c r="Q130" t="str">
        <v>96.7785</v>
      </c>
    </row>
    <row r="132" spans="1:17" x14ac:dyDescent="0.35">
      <c r="A132" t="s">
        <v>657</v>
      </c>
    </row>
    <row r="133" spans="1:17" x14ac:dyDescent="0.35">
      <c r="A133" t="s">
        <v>447</v>
      </c>
      <c r="K133" t="str" cm="1">
        <f t="array" ref="K133:Q133">_xlfn.TEXTSPLIT(A133, ",")</f>
        <v>Speed(m/s)</v>
      </c>
      <c r="L133" t="str">
        <v>AvgDelay(ms)</v>
      </c>
      <c r="M133" t="str">
        <v>Jitter(ms)</v>
      </c>
      <c r="N133" t="str">
        <v>PacketLoss(%)</v>
      </c>
      <c r="O133" t="str">
        <v>Throughput(Mbps)</v>
      </c>
      <c r="P133" t="str">
        <v>AvgSINR(dB)</v>
      </c>
      <c r="Q133" t="str">
        <v>BLER(%)</v>
      </c>
    </row>
    <row r="134" spans="1:17" x14ac:dyDescent="0.35">
      <c r="A134" t="s">
        <v>636</v>
      </c>
      <c r="K134" t="str" cm="1">
        <f t="array" ref="K134:Q134">_xlfn.TEXTSPLIT(A134, ",")</f>
        <v>0</v>
      </c>
      <c r="L134" t="str">
        <v>19.716</v>
      </c>
      <c r="M134" t="str">
        <v>0.225555</v>
      </c>
      <c r="N134" t="str">
        <v>22.6854</v>
      </c>
      <c r="O134" t="str">
        <v>7.84745</v>
      </c>
      <c r="P134" t="str">
        <v>0</v>
      </c>
      <c r="Q134" t="str">
        <v>22.6854</v>
      </c>
    </row>
    <row r="135" spans="1:17" x14ac:dyDescent="0.35">
      <c r="A135" t="s">
        <v>637</v>
      </c>
      <c r="K135" t="str" cm="1">
        <f t="array" ref="K135:Q135">_xlfn.TEXTSPLIT(A135, ",")</f>
        <v>2.5</v>
      </c>
      <c r="L135" t="str">
        <v>0.000502</v>
      </c>
      <c r="M135" t="str">
        <v>0</v>
      </c>
      <c r="N135" t="str">
        <v>99.998</v>
      </c>
      <c r="O135" t="str">
        <v>13441.7</v>
      </c>
      <c r="P135" t="str">
        <v>0</v>
      </c>
      <c r="Q135" t="str">
        <v>99.998</v>
      </c>
    </row>
    <row r="136" spans="1:17" x14ac:dyDescent="0.35">
      <c r="A136" t="s">
        <v>638</v>
      </c>
      <c r="K136" t="str" cm="1">
        <f t="array" ref="K136:Q136">_xlfn.TEXTSPLIT(A136, ",")</f>
        <v>5</v>
      </c>
      <c r="L136" t="str">
        <v>19.1589</v>
      </c>
      <c r="M136" t="str">
        <v>0.225854</v>
      </c>
      <c r="N136" t="str">
        <v>75.7808</v>
      </c>
      <c r="O136" t="str">
        <v>7.98999</v>
      </c>
      <c r="P136" t="str">
        <v>0</v>
      </c>
      <c r="Q136" t="str">
        <v>75.7808</v>
      </c>
    </row>
    <row r="137" spans="1:17" x14ac:dyDescent="0.35">
      <c r="A137" t="s">
        <v>639</v>
      </c>
      <c r="K137" t="str" cm="1">
        <f t="array" ref="K137:Q137">_xlfn.TEXTSPLIT(A137, ",")</f>
        <v>7.5</v>
      </c>
      <c r="L137" t="str">
        <v>202.057</v>
      </c>
      <c r="M137" t="str">
        <v>1.21684</v>
      </c>
      <c r="N137" t="str">
        <v>99.947</v>
      </c>
      <c r="O137" t="str">
        <v>0.262406</v>
      </c>
      <c r="P137" t="str">
        <v>0</v>
      </c>
      <c r="Q137" t="str">
        <v>99.947</v>
      </c>
    </row>
    <row r="138" spans="1:17" x14ac:dyDescent="0.35">
      <c r="A138" t="s">
        <v>640</v>
      </c>
      <c r="K138" t="str" cm="1">
        <f t="array" ref="K138:Q138">_xlfn.TEXTSPLIT(A138, ",")</f>
        <v>10</v>
      </c>
      <c r="L138" t="str">
        <v>21.488</v>
      </c>
      <c r="M138" t="str">
        <v>0.225523</v>
      </c>
      <c r="N138" t="str">
        <v>14.6603</v>
      </c>
      <c r="O138" t="str">
        <v>8.66178</v>
      </c>
      <c r="P138" t="str">
        <v>0</v>
      </c>
      <c r="Q138" t="str">
        <v>14.6603</v>
      </c>
    </row>
    <row r="139" spans="1:17" x14ac:dyDescent="0.35">
      <c r="A139" t="s">
        <v>641</v>
      </c>
      <c r="K139" t="str" cm="1">
        <f t="array" ref="K139:Q139">_xlfn.TEXTSPLIT(A139, ",")</f>
        <v>12.5</v>
      </c>
      <c r="L139" t="str">
        <v>21.8435</v>
      </c>
      <c r="M139" t="str">
        <v>0.22986</v>
      </c>
      <c r="N139" t="str">
        <v>63.7002</v>
      </c>
      <c r="O139" t="str">
        <v>8.39133</v>
      </c>
      <c r="P139" t="str">
        <v>0</v>
      </c>
      <c r="Q139" t="str">
        <v>63.7002</v>
      </c>
    </row>
    <row r="140" spans="1:17" x14ac:dyDescent="0.35">
      <c r="A140" t="s">
        <v>642</v>
      </c>
      <c r="K140" t="str" cm="1">
        <f t="array" ref="K140:Q140">_xlfn.TEXTSPLIT(A140, ",")</f>
        <v>15</v>
      </c>
      <c r="L140" t="str">
        <v>24.7525</v>
      </c>
      <c r="M140" t="str">
        <v>0.215349</v>
      </c>
      <c r="N140" t="str">
        <v>11.4472</v>
      </c>
      <c r="O140" t="str">
        <v>8.98722</v>
      </c>
      <c r="P140" t="str">
        <v>0</v>
      </c>
      <c r="Q140" t="str">
        <v>11.4472</v>
      </c>
    </row>
    <row r="141" spans="1:17" x14ac:dyDescent="0.35">
      <c r="A141" t="s">
        <v>643</v>
      </c>
      <c r="K141" t="str" cm="1">
        <f t="array" ref="K141:Q141">_xlfn.TEXTSPLIT(A141, ",")</f>
        <v>17.5</v>
      </c>
      <c r="L141" t="str">
        <v>30.9626</v>
      </c>
      <c r="M141" t="str">
        <v>0.221281</v>
      </c>
      <c r="N141" t="str">
        <v>15.1749</v>
      </c>
      <c r="O141" t="str">
        <v>8.71004</v>
      </c>
      <c r="P141" t="str">
        <v>0</v>
      </c>
      <c r="Q141" t="str">
        <v>15.1749</v>
      </c>
    </row>
    <row r="142" spans="1:17" x14ac:dyDescent="0.35">
      <c r="A142" t="s">
        <v>644</v>
      </c>
      <c r="K142" t="str" cm="1">
        <f t="array" ref="K142:Q142">_xlfn.TEXTSPLIT(A142, ",")</f>
        <v>20</v>
      </c>
      <c r="L142" t="str">
        <v>32.1599</v>
      </c>
      <c r="M142" t="str">
        <v>0.221795</v>
      </c>
      <c r="N142" t="str">
        <v>31.1297</v>
      </c>
      <c r="O142" t="str">
        <v>8.66948</v>
      </c>
      <c r="P142" t="str">
        <v>0</v>
      </c>
      <c r="Q142" t="str">
        <v>31.1297</v>
      </c>
    </row>
    <row r="143" spans="1:17" x14ac:dyDescent="0.35">
      <c r="A143" t="s">
        <v>645</v>
      </c>
      <c r="K143" t="str" cm="1">
        <f t="array" ref="K143:Q143">_xlfn.TEXTSPLIT(A143, ",")</f>
        <v>22.5</v>
      </c>
      <c r="L143" t="str">
        <v>0.000502</v>
      </c>
      <c r="M143" t="str">
        <v>0</v>
      </c>
      <c r="N143" t="str">
        <v>99.998</v>
      </c>
      <c r="O143" t="str">
        <v>13441.7</v>
      </c>
      <c r="P143" t="str">
        <v>0</v>
      </c>
      <c r="Q143" t="str">
        <v>99.998</v>
      </c>
    </row>
    <row r="144" spans="1:17" x14ac:dyDescent="0.35">
      <c r="A144" t="s">
        <v>646</v>
      </c>
      <c r="K144" t="str" cm="1">
        <f t="array" ref="K144:Q144">_xlfn.TEXTSPLIT(A144, ",")</f>
        <v>25</v>
      </c>
      <c r="L144" t="str">
        <v>28.9059</v>
      </c>
      <c r="M144" t="str">
        <v>0.219251</v>
      </c>
      <c r="N144" t="str">
        <v>43.7698</v>
      </c>
      <c r="O144" t="str">
        <v>8.73844</v>
      </c>
      <c r="P144" t="str">
        <v>0</v>
      </c>
      <c r="Q144" t="str">
        <v>43.7698</v>
      </c>
    </row>
    <row r="145" spans="1:23" x14ac:dyDescent="0.35">
      <c r="A145" t="s">
        <v>647</v>
      </c>
      <c r="K145" t="str" cm="1">
        <f t="array" ref="K145:Q145">_xlfn.TEXTSPLIT(A145, ",")</f>
        <v>27.5</v>
      </c>
      <c r="L145" t="str">
        <v>29.9033</v>
      </c>
      <c r="M145" t="str">
        <v>0.220264</v>
      </c>
      <c r="N145" t="str">
        <v>46.7794</v>
      </c>
      <c r="O145" t="str">
        <v>8.70474</v>
      </c>
      <c r="P145" t="str">
        <v>0</v>
      </c>
      <c r="Q145" t="str">
        <v>46.7794</v>
      </c>
    </row>
    <row r="146" spans="1:23" x14ac:dyDescent="0.35">
      <c r="A146" t="s">
        <v>648</v>
      </c>
      <c r="K146" t="str" cm="1">
        <f t="array" ref="K146:Q146">_xlfn.TEXTSPLIT(A146, ",")</f>
        <v>30</v>
      </c>
      <c r="L146" t="str">
        <v>31.7873</v>
      </c>
      <c r="M146" t="str">
        <v>0.223313</v>
      </c>
      <c r="N146" t="str">
        <v>51.3959</v>
      </c>
      <c r="O146" t="str">
        <v>8.56382</v>
      </c>
      <c r="P146" t="str">
        <v>0</v>
      </c>
      <c r="Q146" t="str">
        <v>51.3959</v>
      </c>
    </row>
    <row r="147" spans="1:23" x14ac:dyDescent="0.35">
      <c r="A147" t="s">
        <v>649</v>
      </c>
      <c r="K147" t="str" cm="1">
        <f t="array" ref="K147:Q147">_xlfn.TEXTSPLIT(A147, ",")</f>
        <v>32.5</v>
      </c>
      <c r="L147" t="str">
        <v>104.5</v>
      </c>
      <c r="M147" t="str">
        <v>0.472397</v>
      </c>
      <c r="N147" t="str">
        <v>99.6657</v>
      </c>
      <c r="O147" t="str">
        <v>1.55297</v>
      </c>
      <c r="P147" t="str">
        <v>0</v>
      </c>
      <c r="Q147" t="str">
        <v>99.6657</v>
      </c>
    </row>
    <row r="148" spans="1:23" x14ac:dyDescent="0.35">
      <c r="A148" t="s">
        <v>650</v>
      </c>
      <c r="K148" t="str" cm="1">
        <f t="array" ref="K148:Q148">_xlfn.TEXTSPLIT(A148, ",")</f>
        <v>35</v>
      </c>
      <c r="L148" t="str">
        <v>0.000502</v>
      </c>
      <c r="M148" t="str">
        <v>0</v>
      </c>
      <c r="N148" t="str">
        <v>99.998</v>
      </c>
      <c r="O148" t="str">
        <v>13441.7</v>
      </c>
      <c r="P148" t="str">
        <v>0</v>
      </c>
      <c r="Q148" t="str">
        <v>99.998</v>
      </c>
    </row>
    <row r="149" spans="1:23" x14ac:dyDescent="0.35">
      <c r="A149" t="s">
        <v>651</v>
      </c>
      <c r="K149" t="str" cm="1">
        <f t="array" ref="K149:Q149">_xlfn.TEXTSPLIT(A149, ",")</f>
        <v>37.5</v>
      </c>
      <c r="L149" t="str">
        <v>0.000502</v>
      </c>
      <c r="M149" t="str">
        <v>0</v>
      </c>
      <c r="N149" t="str">
        <v>99.998</v>
      </c>
      <c r="O149" t="str">
        <v>13441.7</v>
      </c>
      <c r="P149" t="str">
        <v>0</v>
      </c>
      <c r="Q149" t="str">
        <v>99.998</v>
      </c>
    </row>
    <row r="150" spans="1:23" x14ac:dyDescent="0.35">
      <c r="A150" t="s">
        <v>652</v>
      </c>
      <c r="K150" t="str" cm="1">
        <f t="array" ref="K150:Q150">_xlfn.TEXTSPLIT(A150, ",")</f>
        <v>40</v>
      </c>
      <c r="L150" t="str">
        <v>31.6768</v>
      </c>
      <c r="M150" t="str">
        <v>0.221802</v>
      </c>
      <c r="N150" t="str">
        <v>66.5562</v>
      </c>
      <c r="O150" t="str">
        <v>8.4996</v>
      </c>
      <c r="P150" t="str">
        <v>0</v>
      </c>
      <c r="Q150" t="str">
        <v>66.5562</v>
      </c>
    </row>
    <row r="151" spans="1:23" x14ac:dyDescent="0.35">
      <c r="A151" t="s">
        <v>653</v>
      </c>
      <c r="K151" t="str" cm="1">
        <f t="array" ref="K151:Q151">_xlfn.TEXTSPLIT(A151, ",")</f>
        <v>42.5</v>
      </c>
      <c r="L151" t="str">
        <v>36.9269</v>
      </c>
      <c r="M151" t="str">
        <v>0.22256</v>
      </c>
      <c r="N151" t="str">
        <v>68.7001</v>
      </c>
      <c r="O151" t="str">
        <v>8.44821</v>
      </c>
      <c r="P151" t="str">
        <v>0</v>
      </c>
      <c r="Q151" t="str">
        <v>68.7001</v>
      </c>
    </row>
    <row r="152" spans="1:23" x14ac:dyDescent="0.35">
      <c r="A152" t="s">
        <v>654</v>
      </c>
      <c r="K152" t="str" cm="1">
        <f t="array" ref="K152:Q152">_xlfn.TEXTSPLIT(A152, ",")</f>
        <v>45</v>
      </c>
      <c r="L152" t="str">
        <v>18.813</v>
      </c>
      <c r="M152" t="str">
        <v>0.226022</v>
      </c>
      <c r="N152" t="str">
        <v>96.993</v>
      </c>
      <c r="O152" t="str">
        <v>6.69325</v>
      </c>
      <c r="P152" t="str">
        <v>0</v>
      </c>
      <c r="Q152" t="str">
        <v>96.993</v>
      </c>
    </row>
    <row r="153" spans="1:23" x14ac:dyDescent="0.35">
      <c r="A153" t="s">
        <v>655</v>
      </c>
      <c r="K153" t="str" cm="1">
        <f t="array" ref="K153:Q153">_xlfn.TEXTSPLIT(A153, ",")</f>
        <v>47.5</v>
      </c>
      <c r="L153" t="str">
        <v>0.000502</v>
      </c>
      <c r="M153" t="str">
        <v>0</v>
      </c>
      <c r="N153" t="str">
        <v>99.998</v>
      </c>
      <c r="O153" t="str">
        <v>13441.7</v>
      </c>
      <c r="P153" t="str">
        <v>0</v>
      </c>
      <c r="Q153" t="str">
        <v>99.998</v>
      </c>
    </row>
    <row r="154" spans="1:23" x14ac:dyDescent="0.35">
      <c r="A154" t="s">
        <v>656</v>
      </c>
      <c r="K154" t="str" cm="1">
        <f t="array" ref="K154:Q154">_xlfn.TEXTSPLIT(A154, ",")</f>
        <v>50</v>
      </c>
      <c r="L154" t="str">
        <v>18.8227</v>
      </c>
      <c r="M154" t="str">
        <v>0.222663</v>
      </c>
      <c r="N154" t="str">
        <v>97.592</v>
      </c>
      <c r="O154" t="str">
        <v>6.3748</v>
      </c>
      <c r="P154" t="str">
        <v>0</v>
      </c>
      <c r="Q154" t="str">
        <v>97.592</v>
      </c>
    </row>
    <row r="156" spans="1:23" x14ac:dyDescent="0.35">
      <c r="A156" t="s">
        <v>674</v>
      </c>
    </row>
    <row r="157" spans="1:23" x14ac:dyDescent="0.35">
      <c r="A157" t="s">
        <v>447</v>
      </c>
      <c r="K157" t="str" cm="1">
        <f t="array" ref="K157:Q157">_xlfn.TEXTSPLIT(A157, ",")</f>
        <v>Speed(m/s)</v>
      </c>
      <c r="L157" t="str">
        <v>AvgDelay(ms)</v>
      </c>
      <c r="M157" t="str">
        <v>Jitter(ms)</v>
      </c>
      <c r="N157" t="str">
        <v>PacketLoss(%)</v>
      </c>
      <c r="O157" t="str">
        <v>Throughput(Mbps)</v>
      </c>
      <c r="P157" t="str">
        <v>AvgSINR(dB)</v>
      </c>
      <c r="Q157" t="str">
        <v>BLER(%)</v>
      </c>
      <c r="S157" t="s">
        <v>460</v>
      </c>
      <c r="T157" t="s">
        <v>461</v>
      </c>
      <c r="U157" t="s">
        <v>462</v>
      </c>
      <c r="V157" t="s">
        <v>463</v>
      </c>
      <c r="W157" t="s">
        <v>464</v>
      </c>
    </row>
    <row r="158" spans="1:23" x14ac:dyDescent="0.35">
      <c r="A158" t="s">
        <v>658</v>
      </c>
      <c r="K158" t="str" cm="1">
        <f t="array" ref="K158:Q158">_xlfn.TEXTSPLIT(A158, ",")</f>
        <v>0</v>
      </c>
      <c r="L158" t="str">
        <v>12.106</v>
      </c>
      <c r="M158" t="str">
        <v>0.18425</v>
      </c>
      <c r="N158" t="str">
        <v>0.0611099</v>
      </c>
      <c r="O158" t="str">
        <v>10.1404</v>
      </c>
      <c r="P158" t="str">
        <v>0</v>
      </c>
      <c r="Q158" t="str">
        <v>0.0611099</v>
      </c>
      <c r="S158">
        <v>0</v>
      </c>
      <c r="T158">
        <v>12.106</v>
      </c>
      <c r="U158">
        <v>0.18425</v>
      </c>
      <c r="V158">
        <v>6.1109900000000002E-2</v>
      </c>
      <c r="W158">
        <v>10.1404</v>
      </c>
    </row>
    <row r="159" spans="1:23" x14ac:dyDescent="0.35">
      <c r="A159" t="s">
        <v>637</v>
      </c>
      <c r="K159" t="str" cm="1">
        <f t="array" ref="K159:Q159">_xlfn.TEXTSPLIT(A159, ",")</f>
        <v>2.5</v>
      </c>
      <c r="L159" t="str">
        <v>0.000502</v>
      </c>
      <c r="M159" t="str">
        <v>0</v>
      </c>
      <c r="N159" t="str">
        <v>99.998</v>
      </c>
      <c r="O159" t="str">
        <v>13441.7</v>
      </c>
      <c r="P159" t="str">
        <v>0</v>
      </c>
      <c r="Q159" t="str">
        <v>99.998</v>
      </c>
      <c r="S159">
        <v>2.5</v>
      </c>
      <c r="T159">
        <v>5.0199999999999995E-4</v>
      </c>
      <c r="U159">
        <v>0</v>
      </c>
      <c r="V159">
        <v>99.998000000000005</v>
      </c>
      <c r="W159">
        <v>13441.7</v>
      </c>
    </row>
    <row r="160" spans="1:23" x14ac:dyDescent="0.35">
      <c r="A160" t="s">
        <v>659</v>
      </c>
      <c r="K160" t="str" cm="1">
        <f t="array" ref="K160:Q160">_xlfn.TEXTSPLIT(A160, ",")</f>
        <v>5</v>
      </c>
      <c r="L160" t="str">
        <v>19.0384</v>
      </c>
      <c r="M160" t="str">
        <v>0.183773</v>
      </c>
      <c r="N160" t="str">
        <v>2.80802</v>
      </c>
      <c r="O160" t="str">
        <v>10.0855</v>
      </c>
      <c r="P160" t="str">
        <v>0</v>
      </c>
      <c r="Q160" t="str">
        <v>2.80802</v>
      </c>
      <c r="S160">
        <v>5</v>
      </c>
      <c r="T160">
        <v>19.038399999999999</v>
      </c>
      <c r="U160">
        <v>0.18377299999999999</v>
      </c>
      <c r="V160">
        <v>2.80802</v>
      </c>
      <c r="W160">
        <v>10.0855</v>
      </c>
    </row>
    <row r="161" spans="1:23" x14ac:dyDescent="0.35">
      <c r="A161" t="s">
        <v>660</v>
      </c>
      <c r="K161" t="str" cm="1">
        <f t="array" ref="K161:Q161">_xlfn.TEXTSPLIT(A161, ",")</f>
        <v>7.5</v>
      </c>
      <c r="L161" t="str">
        <v>50.8914</v>
      </c>
      <c r="M161" t="str">
        <v>3.2506</v>
      </c>
      <c r="N161" t="str">
        <v>99.9646</v>
      </c>
      <c r="O161" t="str">
        <v>0.18042</v>
      </c>
      <c r="P161" t="str">
        <v>0</v>
      </c>
      <c r="Q161" t="str">
        <v>99.9646</v>
      </c>
      <c r="S161">
        <v>7.5</v>
      </c>
      <c r="T161">
        <v>50.891399999999997</v>
      </c>
      <c r="U161">
        <v>3.2505999999999999</v>
      </c>
      <c r="V161">
        <v>99.964600000000004</v>
      </c>
      <c r="W161">
        <v>0.18042</v>
      </c>
    </row>
    <row r="162" spans="1:23" x14ac:dyDescent="0.35">
      <c r="A162" t="s">
        <v>661</v>
      </c>
      <c r="K162" t="str" cm="1">
        <f t="array" ref="K162:Q162">_xlfn.TEXTSPLIT(A162, ",")</f>
        <v>10</v>
      </c>
      <c r="L162" t="str">
        <v>16.6526</v>
      </c>
      <c r="M162" t="str">
        <v>0.18336</v>
      </c>
      <c r="N162" t="str">
        <v>45.4587</v>
      </c>
      <c r="O162" t="str">
        <v>9.97481</v>
      </c>
      <c r="P162" t="str">
        <v>0</v>
      </c>
      <c r="Q162" t="str">
        <v>45.4587</v>
      </c>
      <c r="S162">
        <v>10</v>
      </c>
      <c r="T162">
        <v>16.6526</v>
      </c>
      <c r="U162">
        <v>0.18336</v>
      </c>
      <c r="V162">
        <v>45.4587</v>
      </c>
      <c r="W162">
        <v>9.9748099999999997</v>
      </c>
    </row>
    <row r="163" spans="1:23" x14ac:dyDescent="0.35">
      <c r="A163" t="s">
        <v>662</v>
      </c>
      <c r="K163" t="str" cm="1">
        <f t="array" ref="K163:Q163">_xlfn.TEXTSPLIT(A163, ",")</f>
        <v>12.5</v>
      </c>
      <c r="L163" t="str">
        <v>15.8447</v>
      </c>
      <c r="M163" t="str">
        <v>0.18275</v>
      </c>
      <c r="N163" t="str">
        <v>56.9973</v>
      </c>
      <c r="O163" t="str">
        <v>10.0085</v>
      </c>
      <c r="P163" t="str">
        <v>0</v>
      </c>
      <c r="Q163" t="str">
        <v>56.9973</v>
      </c>
      <c r="S163">
        <v>12.5</v>
      </c>
      <c r="T163">
        <v>15.8447</v>
      </c>
      <c r="U163">
        <v>0.18275</v>
      </c>
      <c r="V163">
        <v>56.997300000000003</v>
      </c>
      <c r="W163">
        <v>10.0085</v>
      </c>
    </row>
    <row r="164" spans="1:23" x14ac:dyDescent="0.35">
      <c r="A164" t="s">
        <v>663</v>
      </c>
      <c r="K164" t="str" cm="1">
        <f t="array" ref="K164:Q164">_xlfn.TEXTSPLIT(A164, ",")</f>
        <v>15</v>
      </c>
      <c r="L164" t="str">
        <v>15.4906</v>
      </c>
      <c r="M164" t="str">
        <v>0.182389</v>
      </c>
      <c r="N164" t="str">
        <v>63.781</v>
      </c>
      <c r="O164" t="str">
        <v>9.96691</v>
      </c>
      <c r="P164" t="str">
        <v>0</v>
      </c>
      <c r="Q164" t="str">
        <v>63.781</v>
      </c>
      <c r="S164">
        <v>15</v>
      </c>
      <c r="T164">
        <v>15.490600000000001</v>
      </c>
      <c r="U164">
        <v>0.182389</v>
      </c>
      <c r="V164">
        <v>63.780999999999999</v>
      </c>
      <c r="W164">
        <v>9.9669100000000004</v>
      </c>
    </row>
    <row r="165" spans="1:23" x14ac:dyDescent="0.35">
      <c r="A165" t="s">
        <v>664</v>
      </c>
      <c r="K165" t="str" cm="1">
        <f t="array" ref="K165:Q165">_xlfn.TEXTSPLIT(A165, ",")</f>
        <v>17.5</v>
      </c>
      <c r="L165" t="str">
        <v>17.5122</v>
      </c>
      <c r="M165" t="str">
        <v>0.182864</v>
      </c>
      <c r="N165" t="str">
        <v>66.2951</v>
      </c>
      <c r="O165" t="str">
        <v>9.94506</v>
      </c>
      <c r="P165" t="str">
        <v>0</v>
      </c>
      <c r="Q165" t="str">
        <v>66.2951</v>
      </c>
      <c r="S165">
        <v>17.5</v>
      </c>
      <c r="T165">
        <v>17.5122</v>
      </c>
      <c r="U165">
        <v>0.182864</v>
      </c>
      <c r="V165">
        <v>66.295100000000005</v>
      </c>
      <c r="W165">
        <v>9.9450599999999998</v>
      </c>
    </row>
    <row r="166" spans="1:23" x14ac:dyDescent="0.35">
      <c r="A166" t="s">
        <v>665</v>
      </c>
      <c r="K166" t="str" cm="1">
        <f t="array" ref="K166:Q166">_xlfn.TEXTSPLIT(A166, ",")</f>
        <v>20</v>
      </c>
      <c r="L166" t="str">
        <v>20.9123</v>
      </c>
      <c r="M166" t="str">
        <v>0.185246</v>
      </c>
      <c r="N166" t="str">
        <v>73.4005</v>
      </c>
      <c r="O166" t="str">
        <v>9.71243</v>
      </c>
      <c r="P166" t="str">
        <v>0</v>
      </c>
      <c r="Q166" t="str">
        <v>73.4005</v>
      </c>
      <c r="S166">
        <v>20</v>
      </c>
      <c r="T166">
        <v>20.912299999999998</v>
      </c>
      <c r="U166">
        <v>0.18524599999999999</v>
      </c>
      <c r="V166">
        <v>73.400499999999994</v>
      </c>
      <c r="W166">
        <v>9.7124299999999995</v>
      </c>
    </row>
    <row r="167" spans="1:23" x14ac:dyDescent="0.35">
      <c r="A167" t="s">
        <v>645</v>
      </c>
      <c r="K167" t="str" cm="1">
        <f t="array" ref="K167:Q167">_xlfn.TEXTSPLIT(A167, ",")</f>
        <v>22.5</v>
      </c>
      <c r="L167" t="str">
        <v>0.000502</v>
      </c>
      <c r="M167" t="str">
        <v>0</v>
      </c>
      <c r="N167" t="str">
        <v>99.998</v>
      </c>
      <c r="O167" t="str">
        <v>13441.7</v>
      </c>
      <c r="P167" t="str">
        <v>0</v>
      </c>
      <c r="Q167" t="str">
        <v>99.998</v>
      </c>
      <c r="S167">
        <v>22.5</v>
      </c>
      <c r="T167">
        <v>5.0199999999999995E-4</v>
      </c>
      <c r="U167">
        <v>0</v>
      </c>
      <c r="V167">
        <v>99.998000000000005</v>
      </c>
      <c r="W167">
        <v>13441.7</v>
      </c>
    </row>
    <row r="168" spans="1:23" x14ac:dyDescent="0.35">
      <c r="A168" t="s">
        <v>666</v>
      </c>
      <c r="K168" t="str" cm="1">
        <f t="array" ref="K168:Q168">_xlfn.TEXTSPLIT(A168, ",")</f>
        <v>25</v>
      </c>
      <c r="L168" t="str">
        <v>17.3213</v>
      </c>
      <c r="M168" t="str">
        <v>0.185001</v>
      </c>
      <c r="N168" t="str">
        <v>78.0509</v>
      </c>
      <c r="O168" t="str">
        <v>9.58782</v>
      </c>
      <c r="P168" t="str">
        <v>0</v>
      </c>
      <c r="Q168" t="str">
        <v>78.0509</v>
      </c>
      <c r="S168">
        <v>25</v>
      </c>
      <c r="T168">
        <v>17.321300000000001</v>
      </c>
      <c r="U168">
        <v>0.185001</v>
      </c>
      <c r="V168">
        <v>78.050899999999999</v>
      </c>
      <c r="W168">
        <v>9.5878200000000007</v>
      </c>
    </row>
    <row r="169" spans="1:23" x14ac:dyDescent="0.35">
      <c r="A169" t="s">
        <v>667</v>
      </c>
      <c r="K169" t="str" cm="1">
        <f t="array" ref="K169:Q169">_xlfn.TEXTSPLIT(A169, ",")</f>
        <v>27.5</v>
      </c>
      <c r="L169" t="str">
        <v>18.8843</v>
      </c>
      <c r="M169" t="str">
        <v>0.183239</v>
      </c>
      <c r="N169" t="str">
        <v>79.2085</v>
      </c>
      <c r="O169" t="str">
        <v>9.77164</v>
      </c>
      <c r="P169" t="str">
        <v>0</v>
      </c>
      <c r="Q169" t="str">
        <v>79.2085</v>
      </c>
      <c r="S169">
        <v>27.5</v>
      </c>
      <c r="T169">
        <v>18.8843</v>
      </c>
      <c r="U169">
        <v>0.18323900000000001</v>
      </c>
      <c r="V169">
        <v>79.208500000000001</v>
      </c>
      <c r="W169">
        <v>9.7716399999999997</v>
      </c>
    </row>
    <row r="170" spans="1:23" x14ac:dyDescent="0.35">
      <c r="A170" t="s">
        <v>668</v>
      </c>
      <c r="K170" t="str" cm="1">
        <f t="array" ref="K170:Q170">_xlfn.TEXTSPLIT(A170, ",")</f>
        <v>30</v>
      </c>
      <c r="L170" t="str">
        <v>14.8894</v>
      </c>
      <c r="M170" t="str">
        <v>0.182486</v>
      </c>
      <c r="N170" t="str">
        <v>80.9297</v>
      </c>
      <c r="O170" t="str">
        <v>9.73564</v>
      </c>
      <c r="P170" t="str">
        <v>0</v>
      </c>
      <c r="Q170" t="str">
        <v>80.9297</v>
      </c>
      <c r="S170">
        <v>30</v>
      </c>
      <c r="T170">
        <v>14.8894</v>
      </c>
      <c r="U170">
        <v>0.18248600000000001</v>
      </c>
      <c r="V170">
        <v>80.929699999999997</v>
      </c>
      <c r="W170">
        <v>9.7356400000000001</v>
      </c>
    </row>
    <row r="171" spans="1:23" x14ac:dyDescent="0.35">
      <c r="A171" t="s">
        <v>669</v>
      </c>
      <c r="K171" t="str" cm="1">
        <f t="array" ref="K171:Q171">_xlfn.TEXTSPLIT(A171, ",")</f>
        <v>32.5</v>
      </c>
      <c r="L171" t="str">
        <v>14.3401</v>
      </c>
      <c r="M171" t="str">
        <v>0.36103</v>
      </c>
      <c r="N171" t="str">
        <v>99.5263</v>
      </c>
      <c r="O171" t="str">
        <v>1.96517</v>
      </c>
      <c r="P171" t="str">
        <v>0</v>
      </c>
      <c r="Q171" t="str">
        <v>99.5263</v>
      </c>
      <c r="S171">
        <v>32.5</v>
      </c>
      <c r="T171">
        <v>14.3401</v>
      </c>
      <c r="U171">
        <v>0.36103000000000002</v>
      </c>
      <c r="V171">
        <v>99.526300000000006</v>
      </c>
      <c r="W171">
        <v>1.9651700000000001</v>
      </c>
    </row>
    <row r="172" spans="1:23" x14ac:dyDescent="0.35">
      <c r="A172" t="s">
        <v>650</v>
      </c>
      <c r="K172" t="str" cm="1">
        <f t="array" ref="K172:Q172">_xlfn.TEXTSPLIT(A172, ",")</f>
        <v>35</v>
      </c>
      <c r="L172" t="str">
        <v>0.000502</v>
      </c>
      <c r="M172" t="str">
        <v>0</v>
      </c>
      <c r="N172" t="str">
        <v>99.998</v>
      </c>
      <c r="O172" t="str">
        <v>13441.7</v>
      </c>
      <c r="P172" t="str">
        <v>0</v>
      </c>
      <c r="Q172" t="str">
        <v>99.998</v>
      </c>
      <c r="S172">
        <v>35</v>
      </c>
      <c r="T172">
        <v>5.0199999999999995E-4</v>
      </c>
      <c r="U172">
        <v>0</v>
      </c>
      <c r="V172">
        <v>99.998000000000005</v>
      </c>
      <c r="W172">
        <v>13441.7</v>
      </c>
    </row>
    <row r="173" spans="1:23" x14ac:dyDescent="0.35">
      <c r="A173" t="s">
        <v>651</v>
      </c>
      <c r="K173" t="str" cm="1">
        <f t="array" ref="K173:Q173">_xlfn.TEXTSPLIT(A173, ",")</f>
        <v>37.5</v>
      </c>
      <c r="L173" t="str">
        <v>0.000502</v>
      </c>
      <c r="M173" t="str">
        <v>0</v>
      </c>
      <c r="N173" t="str">
        <v>99.998</v>
      </c>
      <c r="O173" t="str">
        <v>13441.7</v>
      </c>
      <c r="P173" t="str">
        <v>0</v>
      </c>
      <c r="Q173" t="str">
        <v>99.998</v>
      </c>
      <c r="S173">
        <v>37.5</v>
      </c>
      <c r="T173">
        <v>5.0199999999999995E-4</v>
      </c>
      <c r="U173">
        <v>0</v>
      </c>
      <c r="V173">
        <v>99.998000000000005</v>
      </c>
      <c r="W173">
        <v>13441.7</v>
      </c>
    </row>
    <row r="174" spans="1:23" x14ac:dyDescent="0.35">
      <c r="A174" t="s">
        <v>670</v>
      </c>
      <c r="K174" t="str" cm="1">
        <f t="array" ref="K174:Q174">_xlfn.TEXTSPLIT(A174, ",")</f>
        <v>40</v>
      </c>
      <c r="L174" t="str">
        <v>16.3305</v>
      </c>
      <c r="M174" t="str">
        <v>0.182877</v>
      </c>
      <c r="N174" t="str">
        <v>87.5199</v>
      </c>
      <c r="O174" t="str">
        <v>9.4892</v>
      </c>
      <c r="P174" t="str">
        <v>0</v>
      </c>
      <c r="Q174" t="str">
        <v>87.5199</v>
      </c>
      <c r="S174">
        <v>40</v>
      </c>
      <c r="T174">
        <v>16.330500000000001</v>
      </c>
      <c r="U174">
        <v>0.18287700000000001</v>
      </c>
      <c r="V174">
        <v>87.519900000000007</v>
      </c>
      <c r="W174">
        <v>9.4892000000000003</v>
      </c>
    </row>
    <row r="175" spans="1:23" x14ac:dyDescent="0.35">
      <c r="A175" t="s">
        <v>671</v>
      </c>
      <c r="K175" t="str" cm="1">
        <f t="array" ref="K175:Q175">_xlfn.TEXTSPLIT(A175, ",")</f>
        <v>42.5</v>
      </c>
      <c r="L175" t="str">
        <v>14.3841</v>
      </c>
      <c r="M175" t="str">
        <v>0.182207</v>
      </c>
      <c r="N175" t="str">
        <v>88.4119</v>
      </c>
      <c r="O175" t="str">
        <v>9.43937</v>
      </c>
      <c r="P175" t="str">
        <v>0</v>
      </c>
      <c r="Q175" t="str">
        <v>88.4119</v>
      </c>
      <c r="S175">
        <v>42.5</v>
      </c>
      <c r="T175">
        <v>14.3841</v>
      </c>
      <c r="U175">
        <v>0.18220700000000001</v>
      </c>
      <c r="V175">
        <v>88.411900000000003</v>
      </c>
      <c r="W175">
        <v>9.4393700000000003</v>
      </c>
    </row>
    <row r="176" spans="1:23" x14ac:dyDescent="0.35">
      <c r="A176" t="s">
        <v>672</v>
      </c>
      <c r="K176" t="str" cm="1">
        <f t="array" ref="K176:Q176">_xlfn.TEXTSPLIT(A176, ",")</f>
        <v>45</v>
      </c>
      <c r="L176" t="str">
        <v>21.438</v>
      </c>
      <c r="M176" t="str">
        <v>0.183488</v>
      </c>
      <c r="N176" t="str">
        <v>87.8891</v>
      </c>
      <c r="O176" t="str">
        <v>9.46585</v>
      </c>
      <c r="P176" t="str">
        <v>0</v>
      </c>
      <c r="Q176" t="str">
        <v>87.8891</v>
      </c>
      <c r="S176">
        <v>45</v>
      </c>
      <c r="T176">
        <v>21.437999999999999</v>
      </c>
      <c r="U176">
        <v>0.18348800000000001</v>
      </c>
      <c r="V176">
        <v>87.889099999999999</v>
      </c>
      <c r="W176">
        <v>9.4658499999999997</v>
      </c>
    </row>
    <row r="177" spans="1:23" x14ac:dyDescent="0.35">
      <c r="A177" t="s">
        <v>655</v>
      </c>
      <c r="K177" t="str" cm="1">
        <f t="array" ref="K177:Q177">_xlfn.TEXTSPLIT(A177, ",")</f>
        <v>47.5</v>
      </c>
      <c r="L177" t="str">
        <v>0.000502</v>
      </c>
      <c r="M177" t="str">
        <v>0</v>
      </c>
      <c r="N177" t="str">
        <v>99.998</v>
      </c>
      <c r="O177" t="str">
        <v>13441.7</v>
      </c>
      <c r="P177" t="str">
        <v>0</v>
      </c>
      <c r="Q177" t="str">
        <v>99.998</v>
      </c>
      <c r="S177">
        <v>47.5</v>
      </c>
      <c r="T177">
        <v>5.0199999999999995E-4</v>
      </c>
      <c r="U177">
        <v>0</v>
      </c>
      <c r="V177">
        <v>99.998000000000005</v>
      </c>
      <c r="W177">
        <v>13441.7</v>
      </c>
    </row>
    <row r="178" spans="1:23" x14ac:dyDescent="0.35">
      <c r="A178" t="s">
        <v>673</v>
      </c>
      <c r="K178" t="str" cm="1">
        <f t="array" ref="K178:Q178">_xlfn.TEXTSPLIT(A178, ",")</f>
        <v>50</v>
      </c>
      <c r="L178" t="str">
        <v>14.6386</v>
      </c>
      <c r="M178" t="str">
        <v>0.18235</v>
      </c>
      <c r="N178" t="str">
        <v>89.6548</v>
      </c>
      <c r="O178" t="str">
        <v>9.35111</v>
      </c>
      <c r="P178" t="str">
        <v>0</v>
      </c>
      <c r="Q178" t="str">
        <v>89.6548</v>
      </c>
      <c r="S178">
        <v>50</v>
      </c>
      <c r="T178">
        <v>14.6386</v>
      </c>
      <c r="U178">
        <v>0.18235000000000001</v>
      </c>
      <c r="V178">
        <v>89.654799999999994</v>
      </c>
      <c r="W178">
        <v>9.3511100000000003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458AD-98F9-46D3-8869-FF94FD04E535}">
  <dimension ref="A1:P14"/>
  <sheetViews>
    <sheetView topLeftCell="B1" workbookViewId="0">
      <selection activeCell="J17" sqref="J17"/>
    </sheetView>
  </sheetViews>
  <sheetFormatPr defaultRowHeight="14.5" x14ac:dyDescent="0.35"/>
  <sheetData>
    <row r="1" spans="1:16" x14ac:dyDescent="0.35">
      <c r="A1" t="s">
        <v>0</v>
      </c>
      <c r="J1" t="str" cm="1">
        <f t="array" ref="J1:P1">_xlfn.TEXTSPLIT(A1, ",")</f>
        <v>Altitude(m)</v>
      </c>
      <c r="K1" t="str">
        <v>AvgDelay(ms)</v>
      </c>
      <c r="L1" t="str">
        <v>Jitter(ms)</v>
      </c>
      <c r="M1" t="str">
        <v>PacketLoss(%)</v>
      </c>
      <c r="N1" t="str">
        <v>Throughput(Mbps)</v>
      </c>
      <c r="O1" t="str">
        <v>AvgSINR(dB)</v>
      </c>
      <c r="P1" t="str">
        <v>BLER(%)</v>
      </c>
    </row>
    <row r="2" spans="1:16" x14ac:dyDescent="0.35">
      <c r="A2" t="s">
        <v>1</v>
      </c>
      <c r="J2" t="str" cm="1">
        <f t="array" ref="J2:P2">_xlfn.TEXTSPLIT(A2, ",")</f>
        <v>1.5</v>
      </c>
      <c r="K2" t="str">
        <v>17.4121</v>
      </c>
      <c r="L2" t="str">
        <v>0.900581</v>
      </c>
      <c r="M2" t="str">
        <v>0.588865</v>
      </c>
      <c r="N2" t="str">
        <v>1.91717</v>
      </c>
      <c r="O2" t="str">
        <v>0</v>
      </c>
      <c r="P2" t="str">
        <v>0.588865</v>
      </c>
    </row>
    <row r="3" spans="1:16" x14ac:dyDescent="0.35">
      <c r="A3" t="s">
        <v>2</v>
      </c>
      <c r="J3" t="str" cm="1">
        <f t="array" ref="J3:P3">_xlfn.TEXTSPLIT(A3, ",")</f>
        <v>10</v>
      </c>
      <c r="K3" t="str">
        <v>0.000502</v>
      </c>
      <c r="L3" t="str">
        <v>0</v>
      </c>
      <c r="M3" t="str">
        <v>99.9286</v>
      </c>
      <c r="N3" t="str">
        <v>13441.7</v>
      </c>
      <c r="O3" t="str">
        <v>0</v>
      </c>
      <c r="P3" t="str">
        <v>99.9286</v>
      </c>
    </row>
    <row r="4" spans="1:16" x14ac:dyDescent="0.35">
      <c r="A4" t="s">
        <v>3</v>
      </c>
      <c r="J4" t="str" cm="1">
        <f t="array" ref="J4:P4">_xlfn.TEXTSPLIT(A4, ",")</f>
        <v>20</v>
      </c>
      <c r="K4" t="str">
        <v>17.3139</v>
      </c>
      <c r="L4" t="str">
        <v>0.904965</v>
      </c>
      <c r="M4" t="str">
        <v>0.606709</v>
      </c>
      <c r="N4" t="str">
        <v>1.91683</v>
      </c>
      <c r="O4" t="str">
        <v>0</v>
      </c>
      <c r="P4" t="str">
        <v>0.606709</v>
      </c>
    </row>
    <row r="5" spans="1:16" x14ac:dyDescent="0.35">
      <c r="A5" t="s">
        <v>4</v>
      </c>
      <c r="J5" t="str" cm="1">
        <f t="array" ref="J5:P5">_xlfn.TEXTSPLIT(A5, ",")</f>
        <v>30</v>
      </c>
      <c r="K5" t="str">
        <v>92.5754</v>
      </c>
      <c r="L5" t="str">
        <v>1.04023</v>
      </c>
      <c r="M5" t="str">
        <v>65.5246</v>
      </c>
      <c r="N5" t="str">
        <v>1.49825</v>
      </c>
      <c r="O5" t="str">
        <v>0</v>
      </c>
      <c r="P5" t="str">
        <v>65.5246</v>
      </c>
    </row>
    <row r="6" spans="1:16" x14ac:dyDescent="0.35">
      <c r="A6" t="s">
        <v>5</v>
      </c>
      <c r="J6" t="str" cm="1">
        <f t="array" ref="J6:P6">_xlfn.TEXTSPLIT(A6, ",")</f>
        <v>40</v>
      </c>
      <c r="K6" t="str">
        <v>16.7521</v>
      </c>
      <c r="L6" t="str">
        <v>0.900151</v>
      </c>
      <c r="M6" t="str">
        <v>0.571021</v>
      </c>
      <c r="N6" t="str">
        <v>1.91752</v>
      </c>
      <c r="O6" t="str">
        <v>0</v>
      </c>
      <c r="P6" t="str">
        <v>0.571021</v>
      </c>
    </row>
    <row r="7" spans="1:16" x14ac:dyDescent="0.35">
      <c r="A7" t="s">
        <v>6</v>
      </c>
      <c r="J7" t="str" cm="1">
        <f t="array" ref="J7:P7">_xlfn.TEXTSPLIT(A7, ",")</f>
        <v>50</v>
      </c>
      <c r="K7" t="str">
        <v>16.8054</v>
      </c>
      <c r="L7" t="str">
        <v>0.899648</v>
      </c>
      <c r="M7" t="str">
        <v>0.624554</v>
      </c>
      <c r="N7" t="str">
        <v>1.91649</v>
      </c>
      <c r="O7" t="str">
        <v>0</v>
      </c>
      <c r="P7" t="str">
        <v>0.624554</v>
      </c>
    </row>
    <row r="8" spans="1:16" x14ac:dyDescent="0.35">
      <c r="A8" t="s">
        <v>7</v>
      </c>
      <c r="J8" t="str" cm="1">
        <f t="array" ref="J8:P8">_xlfn.TEXTSPLIT(A8, ",")</f>
        <v>80</v>
      </c>
      <c r="K8" t="str">
        <v>17.4855</v>
      </c>
      <c r="L8" t="str">
        <v>0.890559</v>
      </c>
      <c r="M8" t="str">
        <v>92.1485</v>
      </c>
      <c r="N8" t="str">
        <v>1.09828</v>
      </c>
      <c r="O8" t="str">
        <v>0</v>
      </c>
      <c r="P8" t="str">
        <v>92.1485</v>
      </c>
    </row>
    <row r="9" spans="1:16" x14ac:dyDescent="0.35">
      <c r="A9" t="s">
        <v>8</v>
      </c>
      <c r="J9" t="str" cm="1">
        <f t="array" ref="J9:P9">_xlfn.TEXTSPLIT(A9, ",")</f>
        <v>100</v>
      </c>
      <c r="K9" t="str">
        <v>18.0551</v>
      </c>
      <c r="L9" t="str">
        <v>0.890632</v>
      </c>
      <c r="M9" t="str">
        <v>28.7473</v>
      </c>
      <c r="N9" t="str">
        <v>1.7847</v>
      </c>
      <c r="O9" t="str">
        <v>0</v>
      </c>
      <c r="P9" t="str">
        <v>28.7473</v>
      </c>
    </row>
    <row r="10" spans="1:16" x14ac:dyDescent="0.35">
      <c r="A10" t="s">
        <v>9</v>
      </c>
      <c r="J10" t="str" cm="1">
        <f t="array" ref="J10:P10">_xlfn.TEXTSPLIT(A10, ",")</f>
        <v>120</v>
      </c>
      <c r="K10" t="str">
        <v>0.000502</v>
      </c>
      <c r="L10" t="str">
        <v>0</v>
      </c>
      <c r="M10" t="str">
        <v>99.9286</v>
      </c>
      <c r="N10" t="str">
        <v>13441.7</v>
      </c>
      <c r="O10" t="str">
        <v>0</v>
      </c>
      <c r="P10" t="str">
        <v>99.9286</v>
      </c>
    </row>
    <row r="11" spans="1:16" x14ac:dyDescent="0.35">
      <c r="A11" t="s">
        <v>10</v>
      </c>
      <c r="J11" t="str" cm="1">
        <f t="array" ref="J11:P11">_xlfn.TEXTSPLIT(A11, ",")</f>
        <v>140</v>
      </c>
      <c r="K11" t="str">
        <v>0.000502</v>
      </c>
      <c r="L11" t="str">
        <v>0</v>
      </c>
      <c r="M11" t="str">
        <v>99.9286</v>
      </c>
      <c r="N11" t="str">
        <v>13441.7</v>
      </c>
      <c r="O11" t="str">
        <v>0</v>
      </c>
      <c r="P11" t="str">
        <v>99.9286</v>
      </c>
    </row>
    <row r="12" spans="1:16" x14ac:dyDescent="0.35">
      <c r="A12" t="s">
        <v>11</v>
      </c>
      <c r="J12" t="str" cm="1">
        <f t="array" ref="J12:P12">_xlfn.TEXTSPLIT(A12, ",")</f>
        <v>160</v>
      </c>
      <c r="K12" t="str">
        <v>0.000502</v>
      </c>
      <c r="L12" t="str">
        <v>0</v>
      </c>
      <c r="M12" t="str">
        <v>99.9286</v>
      </c>
      <c r="N12" t="str">
        <v>13441.7</v>
      </c>
      <c r="O12" t="str">
        <v>0</v>
      </c>
      <c r="P12" t="str">
        <v>99.9286</v>
      </c>
    </row>
    <row r="13" spans="1:16" x14ac:dyDescent="0.35">
      <c r="A13" t="s">
        <v>12</v>
      </c>
      <c r="J13" t="str" cm="1">
        <f t="array" ref="J13:P13">_xlfn.TEXTSPLIT(A13, ",")</f>
        <v>180</v>
      </c>
      <c r="K13" t="str">
        <v>0.000502</v>
      </c>
      <c r="L13" t="str">
        <v>0</v>
      </c>
      <c r="M13" t="str">
        <v>99.9286</v>
      </c>
      <c r="N13" t="str">
        <v>13441.7</v>
      </c>
      <c r="O13" t="str">
        <v>0</v>
      </c>
      <c r="P13" t="str">
        <v>99.9286</v>
      </c>
    </row>
    <row r="14" spans="1:16" x14ac:dyDescent="0.35">
      <c r="A14" t="s">
        <v>13</v>
      </c>
      <c r="J14" t="str" cm="1">
        <f t="array" ref="J14:P14">_xlfn.TEXTSPLIT(A14, ",")</f>
        <v>200</v>
      </c>
      <c r="K14" t="str">
        <v>0.000502</v>
      </c>
      <c r="L14" t="str">
        <v>0</v>
      </c>
      <c r="M14" t="str">
        <v>99.9286</v>
      </c>
      <c r="N14" t="str">
        <v>13441.7</v>
      </c>
      <c r="O14" t="str">
        <v>0</v>
      </c>
      <c r="P14" t="str">
        <v>99.9286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B2E9A-F81B-48F9-B76D-9C00D7667F38}">
  <dimension ref="A1:P22"/>
  <sheetViews>
    <sheetView workbookViewId="0">
      <selection activeCell="H14" sqref="H14"/>
    </sheetView>
  </sheetViews>
  <sheetFormatPr defaultRowHeight="14.5" x14ac:dyDescent="0.35"/>
  <sheetData>
    <row r="1" spans="1:16" x14ac:dyDescent="0.35">
      <c r="A1" t="s">
        <v>447</v>
      </c>
      <c r="J1" t="str" cm="1">
        <f t="array" ref="J1:P1">_xlfn.TEXTSPLIT(A1,",")</f>
        <v>Speed(m/s)</v>
      </c>
      <c r="K1" t="str">
        <v>AvgDelay(ms)</v>
      </c>
      <c r="L1" t="str">
        <v>Jitter(ms)</v>
      </c>
      <c r="M1" t="str">
        <v>PacketLoss(%)</v>
      </c>
      <c r="N1" t="str">
        <v>Throughput(Mbps)</v>
      </c>
      <c r="O1" t="str">
        <v>AvgSINR(dB)</v>
      </c>
      <c r="P1" t="str">
        <v>BLER(%)</v>
      </c>
    </row>
    <row r="2" spans="1:16" x14ac:dyDescent="0.35">
      <c r="A2" t="s">
        <v>696</v>
      </c>
      <c r="J2" t="str" cm="1">
        <f t="array" ref="J2:P2">_xlfn.TEXTSPLIT(A2,",")</f>
        <v>0</v>
      </c>
      <c r="K2" t="str">
        <v>18.4981</v>
      </c>
      <c r="L2" t="str">
        <v>0.227139</v>
      </c>
      <c r="M2" t="str">
        <v>13.9038</v>
      </c>
      <c r="N2" t="str">
        <v>8.73878</v>
      </c>
      <c r="O2" t="str">
        <v>0</v>
      </c>
      <c r="P2" t="str">
        <v>13.9038</v>
      </c>
    </row>
    <row r="3" spans="1:16" x14ac:dyDescent="0.35">
      <c r="A3" t="s">
        <v>697</v>
      </c>
      <c r="J3" t="str" cm="1">
        <f t="array" ref="J3:P3">_xlfn.TEXTSPLIT(A3,",")</f>
        <v>2.5</v>
      </c>
      <c r="K3" t="str">
        <v>18.4981</v>
      </c>
      <c r="L3" t="str">
        <v>0.227139</v>
      </c>
      <c r="M3" t="str">
        <v>13.9038</v>
      </c>
      <c r="N3" t="str">
        <v>8.73878</v>
      </c>
      <c r="O3" t="str">
        <v>0</v>
      </c>
      <c r="P3" t="str">
        <v>13.9038</v>
      </c>
    </row>
    <row r="4" spans="1:16" x14ac:dyDescent="0.35">
      <c r="A4" t="s">
        <v>698</v>
      </c>
      <c r="J4" t="str" cm="1">
        <f t="array" ref="J4:P4">_xlfn.TEXTSPLIT(A4,",")</f>
        <v>5</v>
      </c>
      <c r="K4" t="str">
        <v>38.5657</v>
      </c>
      <c r="L4" t="str">
        <v>0.242339</v>
      </c>
      <c r="M4" t="str">
        <v>72.2834</v>
      </c>
      <c r="N4" t="str">
        <v>7.93025</v>
      </c>
      <c r="O4" t="str">
        <v>0</v>
      </c>
      <c r="P4" t="str">
        <v>72.2834</v>
      </c>
    </row>
    <row r="5" spans="1:16" x14ac:dyDescent="0.35">
      <c r="A5" t="s">
        <v>699</v>
      </c>
      <c r="J5" t="str" cm="1">
        <f t="array" ref="J5:P5">_xlfn.TEXTSPLIT(A5,",")</f>
        <v>7.5</v>
      </c>
      <c r="K5" t="str">
        <v>26.8251</v>
      </c>
      <c r="L5" t="str">
        <v>0.231157</v>
      </c>
      <c r="M5" t="str">
        <v>16.6648</v>
      </c>
      <c r="N5" t="str">
        <v>8.4902</v>
      </c>
      <c r="O5" t="str">
        <v>0</v>
      </c>
      <c r="P5" t="str">
        <v>16.6648</v>
      </c>
    </row>
    <row r="6" spans="1:16" x14ac:dyDescent="0.35">
      <c r="A6" t="s">
        <v>700</v>
      </c>
      <c r="J6" t="str" cm="1">
        <f t="array" ref="J6:P6">_xlfn.TEXTSPLIT(A6,",")</f>
        <v>10</v>
      </c>
      <c r="K6" t="str">
        <v>47.127</v>
      </c>
      <c r="L6" t="str">
        <v>0.249428</v>
      </c>
      <c r="M6" t="str">
        <v>47.7556</v>
      </c>
      <c r="N6" t="str">
        <v>7.54912</v>
      </c>
      <c r="O6" t="str">
        <v>0</v>
      </c>
      <c r="P6" t="str">
        <v>47.7556</v>
      </c>
    </row>
    <row r="7" spans="1:16" x14ac:dyDescent="0.35">
      <c r="A7" t="s">
        <v>701</v>
      </c>
      <c r="J7" t="str" cm="1">
        <f t="array" ref="J7:P7">_xlfn.TEXTSPLIT(A7,",")</f>
        <v>12.5</v>
      </c>
      <c r="K7" t="str">
        <v>18.5028</v>
      </c>
      <c r="L7" t="str">
        <v>0.227245</v>
      </c>
      <c r="M7" t="str">
        <v>13.9437</v>
      </c>
      <c r="N7" t="str">
        <v>8.73473</v>
      </c>
      <c r="O7" t="str">
        <v>0</v>
      </c>
      <c r="P7" t="str">
        <v>13.9437</v>
      </c>
    </row>
    <row r="8" spans="1:16" x14ac:dyDescent="0.35">
      <c r="A8" t="s">
        <v>702</v>
      </c>
      <c r="J8" t="str" cm="1">
        <f t="array" ref="J8:P8">_xlfn.TEXTSPLIT(A8,",")</f>
        <v>15</v>
      </c>
      <c r="K8" t="str">
        <v>18.8087</v>
      </c>
      <c r="L8" t="str">
        <v>0.228857</v>
      </c>
      <c r="M8" t="str">
        <v>14.9997</v>
      </c>
      <c r="N8" t="str">
        <v>8.66877</v>
      </c>
      <c r="O8" t="str">
        <v>0</v>
      </c>
      <c r="P8" t="str">
        <v>14.9997</v>
      </c>
    </row>
    <row r="9" spans="1:16" x14ac:dyDescent="0.35">
      <c r="A9" t="s">
        <v>703</v>
      </c>
      <c r="J9" t="str" cm="1">
        <f t="array" ref="J9:P9">_xlfn.TEXTSPLIT(A9,",")</f>
        <v>17.5</v>
      </c>
      <c r="K9" t="str">
        <v>65.4101</v>
      </c>
      <c r="L9" t="str">
        <v>0.240049</v>
      </c>
      <c r="M9" t="str">
        <v>63.5129</v>
      </c>
      <c r="N9" t="str">
        <v>7.85106</v>
      </c>
      <c r="O9" t="str">
        <v>0</v>
      </c>
      <c r="P9" t="str">
        <v>63.5129</v>
      </c>
    </row>
    <row r="10" spans="1:16" x14ac:dyDescent="0.35">
      <c r="A10" t="s">
        <v>704</v>
      </c>
      <c r="J10" t="str" cm="1">
        <f t="array" ref="J10:P10">_xlfn.TEXTSPLIT(A10,",")</f>
        <v>20</v>
      </c>
      <c r="K10" t="str">
        <v>19.6525</v>
      </c>
      <c r="L10" t="str">
        <v>0.226335</v>
      </c>
      <c r="M10" t="str">
        <v>13.7048</v>
      </c>
      <c r="N10" t="str">
        <v>8.76117</v>
      </c>
      <c r="O10" t="str">
        <v>0</v>
      </c>
      <c r="P10" t="str">
        <v>13.7048</v>
      </c>
    </row>
    <row r="11" spans="1:16" x14ac:dyDescent="0.35">
      <c r="A11" t="s">
        <v>705</v>
      </c>
      <c r="J11" t="str" cm="1">
        <f t="array" ref="J11:P11">_xlfn.TEXTSPLIT(A11,",")</f>
        <v>22.5</v>
      </c>
      <c r="K11" t="str">
        <v>35.745</v>
      </c>
      <c r="L11" t="str">
        <v>0.254688</v>
      </c>
      <c r="M11" t="str">
        <v>92.4678</v>
      </c>
      <c r="N11" t="str">
        <v>6.91988</v>
      </c>
      <c r="O11" t="str">
        <v>0</v>
      </c>
      <c r="P11" t="str">
        <v>92.4678</v>
      </c>
    </row>
    <row r="12" spans="1:16" x14ac:dyDescent="0.35">
      <c r="A12" t="s">
        <v>706</v>
      </c>
      <c r="J12" t="str" cm="1">
        <f t="array" ref="J12:P12">_xlfn.TEXTSPLIT(A12,",")</f>
        <v>25</v>
      </c>
      <c r="K12" t="str">
        <v>20.0796</v>
      </c>
      <c r="L12" t="str">
        <v>0.232493</v>
      </c>
      <c r="M12" t="str">
        <v>15.979</v>
      </c>
      <c r="N12" t="str">
        <v>8.52815</v>
      </c>
      <c r="O12" t="str">
        <v>0</v>
      </c>
      <c r="P12" t="str">
        <v>15.979</v>
      </c>
    </row>
    <row r="13" spans="1:16" x14ac:dyDescent="0.35">
      <c r="A13" t="s">
        <v>707</v>
      </c>
      <c r="J13" t="str" cm="1">
        <f t="array" ref="J13:P13">_xlfn.TEXTSPLIT(A13,",")</f>
        <v>27.5</v>
      </c>
      <c r="K13" t="str">
        <v>19.6236</v>
      </c>
      <c r="L13" t="str">
        <v>0.232069</v>
      </c>
      <c r="M13" t="str">
        <v>15.7911</v>
      </c>
      <c r="N13" t="str">
        <v>8.54722</v>
      </c>
      <c r="O13" t="str">
        <v>0</v>
      </c>
      <c r="P13" t="str">
        <v>15.7911</v>
      </c>
    </row>
    <row r="14" spans="1:16" x14ac:dyDescent="0.35">
      <c r="A14" t="s">
        <v>708</v>
      </c>
      <c r="J14" t="str" cm="1">
        <f t="array" ref="J14:P14">_xlfn.TEXTSPLIT(A14,",")</f>
        <v>30</v>
      </c>
      <c r="K14" t="str">
        <v>19.5436</v>
      </c>
      <c r="L14" t="str">
        <v>0.228166</v>
      </c>
      <c r="M14" t="str">
        <v>14.3174</v>
      </c>
      <c r="N14" t="str">
        <v>8.6968</v>
      </c>
      <c r="O14" t="str">
        <v>0</v>
      </c>
      <c r="P14" t="str">
        <v>14.3174</v>
      </c>
    </row>
    <row r="15" spans="1:16" x14ac:dyDescent="0.35">
      <c r="A15" t="s">
        <v>709</v>
      </c>
      <c r="J15" t="str" cm="1">
        <f t="array" ref="J15:P15">_xlfn.TEXTSPLIT(A15,",")</f>
        <v>32.5</v>
      </c>
      <c r="K15" t="str">
        <v>21.6959</v>
      </c>
      <c r="L15" t="str">
        <v>0.22907</v>
      </c>
      <c r="M15" t="str">
        <v>14.776</v>
      </c>
      <c r="N15" t="str">
        <v>8.65004</v>
      </c>
      <c r="O15" t="str">
        <v>0</v>
      </c>
      <c r="P15" t="str">
        <v>14.776</v>
      </c>
    </row>
    <row r="16" spans="1:16" x14ac:dyDescent="0.35">
      <c r="A16" t="s">
        <v>710</v>
      </c>
      <c r="J16" t="str" cm="1">
        <f t="array" ref="J16:P16">_xlfn.TEXTSPLIT(A16,",")</f>
        <v>35</v>
      </c>
      <c r="K16" t="str">
        <v>23.7897</v>
      </c>
      <c r="L16" t="str">
        <v>0.229447</v>
      </c>
      <c r="M16" t="str">
        <v>15.2689</v>
      </c>
      <c r="N16" t="str">
        <v>8.60001</v>
      </c>
      <c r="O16" t="str">
        <v>0</v>
      </c>
      <c r="P16" t="str">
        <v>15.2689</v>
      </c>
    </row>
    <row r="17" spans="1:16" x14ac:dyDescent="0.35">
      <c r="A17" t="s">
        <v>711</v>
      </c>
      <c r="J17" t="str" cm="1">
        <f t="array" ref="J17:P17">_xlfn.TEXTSPLIT(A17,",")</f>
        <v>37.5</v>
      </c>
      <c r="K17" t="str">
        <v>20.3399</v>
      </c>
      <c r="L17" t="str">
        <v>0.23293</v>
      </c>
      <c r="M17" t="str">
        <v>16.1487</v>
      </c>
      <c r="N17" t="str">
        <v>8.51093</v>
      </c>
      <c r="O17" t="str">
        <v>0</v>
      </c>
      <c r="P17" t="str">
        <v>16.1487</v>
      </c>
    </row>
    <row r="18" spans="1:16" x14ac:dyDescent="0.35">
      <c r="A18" t="s">
        <v>712</v>
      </c>
      <c r="J18" t="str" cm="1">
        <f t="array" ref="J18:P18">_xlfn.TEXTSPLIT(A18,",")</f>
        <v>40</v>
      </c>
      <c r="K18" t="str">
        <v>20.6593</v>
      </c>
      <c r="L18" t="str">
        <v>0.232252</v>
      </c>
      <c r="M18" t="str">
        <v>15.9547</v>
      </c>
      <c r="N18" t="str">
        <v>8.53061</v>
      </c>
      <c r="O18" t="str">
        <v>0</v>
      </c>
      <c r="P18" t="str">
        <v>15.9547</v>
      </c>
    </row>
    <row r="19" spans="1:16" x14ac:dyDescent="0.35">
      <c r="A19" t="s">
        <v>713</v>
      </c>
      <c r="J19" t="str" cm="1">
        <f t="array" ref="J19:P19">_xlfn.TEXTSPLIT(A19,",")</f>
        <v>42.5</v>
      </c>
      <c r="K19" t="str">
        <v>47.753</v>
      </c>
      <c r="L19" t="str">
        <v>0.238535</v>
      </c>
      <c r="M19" t="str">
        <v>80.3494</v>
      </c>
      <c r="N19" t="str">
        <v>7.63796</v>
      </c>
      <c r="O19" t="str">
        <v>0</v>
      </c>
      <c r="P19" t="str">
        <v>80.3494</v>
      </c>
    </row>
    <row r="20" spans="1:16" x14ac:dyDescent="0.35">
      <c r="A20" t="s">
        <v>714</v>
      </c>
      <c r="J20" t="str" cm="1">
        <f t="array" ref="J20:P20">_xlfn.TEXTSPLIT(A20,",")</f>
        <v>45</v>
      </c>
      <c r="K20" t="str">
        <v>23.745</v>
      </c>
      <c r="L20" t="str">
        <v>0.23268</v>
      </c>
      <c r="M20" t="str">
        <v>16.336</v>
      </c>
      <c r="N20" t="str">
        <v>8.4917</v>
      </c>
      <c r="O20" t="str">
        <v>0</v>
      </c>
      <c r="P20" t="str">
        <v>16.336</v>
      </c>
    </row>
    <row r="21" spans="1:16" x14ac:dyDescent="0.35">
      <c r="A21" t="s">
        <v>715</v>
      </c>
      <c r="J21" t="str" cm="1">
        <f t="array" ref="J21:P21">_xlfn.TEXTSPLIT(A21,",")</f>
        <v>47.5</v>
      </c>
      <c r="K21" t="str">
        <v>22.462</v>
      </c>
      <c r="L21" t="str">
        <v>0.231996</v>
      </c>
      <c r="M21" t="str">
        <v>16.0461</v>
      </c>
      <c r="N21" t="str">
        <v>8.52112</v>
      </c>
      <c r="O21" t="str">
        <v>0</v>
      </c>
      <c r="P21" t="str">
        <v>16.0461</v>
      </c>
    </row>
    <row r="22" spans="1:16" x14ac:dyDescent="0.35">
      <c r="A22" t="s">
        <v>716</v>
      </c>
      <c r="J22" t="str" cm="1">
        <f t="array" ref="J22:P22">_xlfn.TEXTSPLIT(A22,",")</f>
        <v>50</v>
      </c>
      <c r="K22" t="str">
        <v>22.4681</v>
      </c>
      <c r="L22" t="str">
        <v>0.23063</v>
      </c>
      <c r="M22" t="str">
        <v>15.9062</v>
      </c>
      <c r="N22" t="str">
        <v>8.53532</v>
      </c>
      <c r="O22" t="str">
        <v>0</v>
      </c>
      <c r="P22" t="str">
        <v>15.9062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4EB11-5FCC-4B7E-BC07-97B394641F78}">
  <dimension ref="A1:P35"/>
  <sheetViews>
    <sheetView topLeftCell="A16" workbookViewId="0">
      <selection activeCell="J28" sqref="J28:N35"/>
    </sheetView>
  </sheetViews>
  <sheetFormatPr defaultRowHeight="14.5" x14ac:dyDescent="0.35"/>
  <sheetData>
    <row r="1" spans="1:16" x14ac:dyDescent="0.35">
      <c r="A1" t="s">
        <v>881</v>
      </c>
      <c r="J1" t="str" cm="1">
        <f t="array" ref="J1:O1">_xlfn.TEXTSPLIT(A1,",")</f>
        <v>Speed(m/s)</v>
      </c>
      <c r="K1" t="str">
        <v>AvgDelay(ms)</v>
      </c>
      <c r="L1" t="str">
        <v>Jitter(ms)</v>
      </c>
      <c r="M1" t="str">
        <v>PacketLoss(%)</v>
      </c>
      <c r="N1" t="str">
        <v>Throughput(Mbps)</v>
      </c>
      <c r="O1" t="str">
        <v>AvgSINR(dB)</v>
      </c>
    </row>
    <row r="2" spans="1:16" x14ac:dyDescent="0.35">
      <c r="A2" t="s">
        <v>882</v>
      </c>
      <c r="J2" t="str" cm="1">
        <f t="array" ref="J2:O2">_xlfn.TEXTSPLIT(A2,",")</f>
        <v>0</v>
      </c>
      <c r="K2" t="str">
        <v>13.5146</v>
      </c>
      <c r="L2" t="str">
        <v>0.185762</v>
      </c>
      <c r="M2" t="str">
        <v>0.0767661</v>
      </c>
      <c r="N2" t="str">
        <v>10.2425</v>
      </c>
      <c r="O2" t="str">
        <v>0</v>
      </c>
    </row>
    <row r="3" spans="1:16" x14ac:dyDescent="0.35">
      <c r="A3" t="s">
        <v>883</v>
      </c>
      <c r="J3" t="str" cm="1">
        <f t="array" ref="J3:O3">_xlfn.TEXTSPLIT(A3,",")</f>
        <v>5</v>
      </c>
      <c r="K3" t="str">
        <v>15.38</v>
      </c>
      <c r="L3" t="str">
        <v>0.193053</v>
      </c>
      <c r="M3" t="str">
        <v>0.0838367</v>
      </c>
      <c r="N3" t="str">
        <v>10.2423</v>
      </c>
      <c r="O3" t="str">
        <v>0</v>
      </c>
    </row>
    <row r="4" spans="1:16" x14ac:dyDescent="0.35">
      <c r="A4" t="s">
        <v>884</v>
      </c>
      <c r="J4" t="str" cm="1">
        <f t="array" ref="J4:O4">_xlfn.TEXTSPLIT(A4,",")</f>
        <v>10</v>
      </c>
      <c r="K4" t="str">
        <v>14.5653</v>
      </c>
      <c r="L4" t="str">
        <v>0.173109</v>
      </c>
      <c r="M4" t="str">
        <v>68.2057</v>
      </c>
      <c r="N4" t="str">
        <v>10.2497</v>
      </c>
      <c r="O4" t="str">
        <v>0</v>
      </c>
    </row>
    <row r="5" spans="1:16" x14ac:dyDescent="0.35">
      <c r="A5" t="s">
        <v>885</v>
      </c>
      <c r="J5" t="str" cm="1">
        <f t="array" ref="J5:O5">_xlfn.TEXTSPLIT(A5,",")</f>
        <v>15</v>
      </c>
      <c r="K5" t="str">
        <v>13.2771</v>
      </c>
      <c r="L5" t="str">
        <v>0.180623</v>
      </c>
      <c r="M5" t="str">
        <v>0.0904022</v>
      </c>
      <c r="N5" t="str">
        <v>10.2406</v>
      </c>
      <c r="O5" t="str">
        <v>0</v>
      </c>
    </row>
    <row r="6" spans="1:16" x14ac:dyDescent="0.35">
      <c r="A6" t="s">
        <v>886</v>
      </c>
      <c r="J6" t="str" cm="1">
        <f t="array" ref="J6:O6">_xlfn.TEXTSPLIT(A6,",")</f>
        <v>20</v>
      </c>
      <c r="K6" t="str">
        <v>13.1612</v>
      </c>
      <c r="L6" t="str">
        <v>0.165815</v>
      </c>
      <c r="M6" t="str">
        <v>0.562615</v>
      </c>
      <c r="N6" t="str">
        <v>10.2416</v>
      </c>
      <c r="O6" t="str">
        <v>0</v>
      </c>
    </row>
    <row r="7" spans="1:16" x14ac:dyDescent="0.35">
      <c r="A7" t="s">
        <v>887</v>
      </c>
      <c r="J7" t="str" cm="1">
        <f t="array" ref="J7:O7">_xlfn.TEXTSPLIT(A7,",")</f>
        <v>25</v>
      </c>
      <c r="K7" t="str">
        <v>15.3921</v>
      </c>
      <c r="L7" t="str">
        <v>0.193053</v>
      </c>
      <c r="M7" t="str">
        <v>0.0843417</v>
      </c>
      <c r="N7" t="str">
        <v>10.2422</v>
      </c>
      <c r="O7" t="str">
        <v>0</v>
      </c>
    </row>
    <row r="8" spans="1:16" x14ac:dyDescent="0.35">
      <c r="A8" t="s">
        <v>888</v>
      </c>
      <c r="J8" t="str" cm="1">
        <f t="array" ref="J8:O8">_xlfn.TEXTSPLIT(A8,",")</f>
        <v>30</v>
      </c>
      <c r="K8" t="str">
        <v>15.3922</v>
      </c>
      <c r="L8" t="str">
        <v>0.193053</v>
      </c>
      <c r="M8" t="str">
        <v>0.0843417</v>
      </c>
      <c r="N8" t="str">
        <v>10.2422</v>
      </c>
      <c r="O8" t="str">
        <v>0</v>
      </c>
    </row>
    <row r="9" spans="1:16" x14ac:dyDescent="0.35">
      <c r="A9" t="s">
        <v>889</v>
      </c>
      <c r="J9" t="str" cm="1">
        <f t="array" ref="J9:O9">_xlfn.TEXTSPLIT(A9,",")</f>
        <v>35</v>
      </c>
      <c r="K9" t="str">
        <v>13.1444</v>
      </c>
      <c r="L9" t="str">
        <v>0.166307</v>
      </c>
      <c r="M9" t="str">
        <v>0.0666653</v>
      </c>
      <c r="N9" t="str">
        <v>10.2427</v>
      </c>
      <c r="O9" t="str">
        <v>0</v>
      </c>
    </row>
    <row r="10" spans="1:16" x14ac:dyDescent="0.35">
      <c r="A10" t="s">
        <v>890</v>
      </c>
      <c r="J10" t="str" cm="1">
        <f t="array" ref="J10:O10">_xlfn.TEXTSPLIT(A10,",")</f>
        <v>40</v>
      </c>
      <c r="K10" t="str">
        <v>15.417</v>
      </c>
      <c r="L10" t="str">
        <v>0.193053</v>
      </c>
      <c r="M10" t="str">
        <v>0.0717157</v>
      </c>
      <c r="N10" t="str">
        <v>10.2422</v>
      </c>
      <c r="O10" t="str">
        <v>0</v>
      </c>
    </row>
    <row r="11" spans="1:16" x14ac:dyDescent="0.35">
      <c r="A11" t="s">
        <v>891</v>
      </c>
      <c r="J11" t="str" cm="1">
        <f t="array" ref="J11:O11">_xlfn.TEXTSPLIT(A11,",")</f>
        <v>45</v>
      </c>
      <c r="K11" t="str">
        <v>13.4866</v>
      </c>
      <c r="L11" t="str">
        <v>0.168224</v>
      </c>
      <c r="M11" t="str">
        <v>0.074746</v>
      </c>
      <c r="N11" t="str">
        <v>10.2419</v>
      </c>
      <c r="O11" t="str">
        <v>0</v>
      </c>
    </row>
    <row r="12" spans="1:16" x14ac:dyDescent="0.35">
      <c r="A12" t="s">
        <v>892</v>
      </c>
      <c r="J12" t="str" cm="1">
        <f t="array" ref="J12:O12">_xlfn.TEXTSPLIT(A12,",")</f>
        <v>50</v>
      </c>
      <c r="K12" t="str">
        <v>15.3799</v>
      </c>
      <c r="L12" t="str">
        <v>0.193053</v>
      </c>
      <c r="M12" t="str">
        <v>0.0838367</v>
      </c>
      <c r="N12" t="str">
        <v>10.2423</v>
      </c>
      <c r="O12" t="str">
        <v>0</v>
      </c>
    </row>
    <row r="14" spans="1:16" x14ac:dyDescent="0.35">
      <c r="A14" t="s">
        <v>893</v>
      </c>
      <c r="J14" t="str" cm="1">
        <f t="array" ref="J14:P14">_xlfn.TEXTSPLIT(A14, ",")</f>
        <v>Speed(m/s)</v>
      </c>
      <c r="K14" t="str">
        <v>AvgDelay(ms)</v>
      </c>
      <c r="L14" t="str">
        <v>Jitter(ms)</v>
      </c>
      <c r="M14" t="str">
        <v>PacketLoss(%)</v>
      </c>
      <c r="N14" t="str">
        <v>Throughput(Mbps)</v>
      </c>
      <c r="O14" t="str">
        <v>AvgSINR(dB)</v>
      </c>
      <c r="P14" t="str">
        <v>SINR_Std(dB)</v>
      </c>
    </row>
    <row r="15" spans="1:16" x14ac:dyDescent="0.35">
      <c r="A15" t="s">
        <v>894</v>
      </c>
      <c r="J15" t="str" cm="1">
        <f t="array" ref="J15:P15">_xlfn.TEXTSPLIT(A15, ",")</f>
        <v>0</v>
      </c>
      <c r="K15" t="str">
        <v>26.6534</v>
      </c>
      <c r="L15" t="str">
        <v>0.079522</v>
      </c>
      <c r="M15" t="str">
        <v>61.8857</v>
      </c>
      <c r="N15" t="str">
        <v>3.91461</v>
      </c>
      <c r="O15" t="str">
        <v>0</v>
      </c>
      <c r="P15" t="str">
        <v>0</v>
      </c>
    </row>
    <row r="16" spans="1:16" x14ac:dyDescent="0.35">
      <c r="A16" t="s">
        <v>895</v>
      </c>
      <c r="J16" t="str" cm="1">
        <f t="array" ref="J16:P16">_xlfn.TEXTSPLIT(A16, ",")</f>
        <v>5</v>
      </c>
      <c r="K16" t="str">
        <v>6.26422</v>
      </c>
      <c r="L16" t="str">
        <v>0.0745234</v>
      </c>
      <c r="M16" t="str">
        <v>60.2039</v>
      </c>
      <c r="N16" t="str">
        <v>4.08066</v>
      </c>
      <c r="O16" t="str">
        <v>0</v>
      </c>
      <c r="P16" t="str">
        <v>0</v>
      </c>
    </row>
    <row r="17" spans="1:16" x14ac:dyDescent="0.35">
      <c r="A17" t="s">
        <v>896</v>
      </c>
      <c r="J17" t="str" cm="1">
        <f t="array" ref="J17:P17">_xlfn.TEXTSPLIT(A17, ",")</f>
        <v>10</v>
      </c>
      <c r="K17" t="str">
        <v>6.2462</v>
      </c>
      <c r="L17" t="str">
        <v>0.0735547</v>
      </c>
      <c r="M17" t="str">
        <v>60.0693</v>
      </c>
      <c r="N17" t="str">
        <v>4.09436</v>
      </c>
      <c r="O17" t="str">
        <v>0</v>
      </c>
      <c r="P17" t="str">
        <v>0</v>
      </c>
    </row>
    <row r="18" spans="1:16" x14ac:dyDescent="0.35">
      <c r="A18" t="s">
        <v>897</v>
      </c>
      <c r="J18" t="str" cm="1">
        <f t="array" ref="J18:P18">_xlfn.TEXTSPLIT(A18, ",")</f>
        <v>15</v>
      </c>
      <c r="K18" t="str">
        <v>6.16217</v>
      </c>
      <c r="L18" t="str">
        <v>0.0733775</v>
      </c>
      <c r="M18" t="str">
        <v>60.0645</v>
      </c>
      <c r="N18" t="str">
        <v>4.09485</v>
      </c>
      <c r="O18" t="str">
        <v>0</v>
      </c>
      <c r="P18" t="str">
        <v>0</v>
      </c>
    </row>
    <row r="19" spans="1:16" x14ac:dyDescent="0.35">
      <c r="A19" t="s">
        <v>898</v>
      </c>
      <c r="J19" t="str" cm="1">
        <f t="array" ref="J19:P19">_xlfn.TEXTSPLIT(A19, ",")</f>
        <v>20</v>
      </c>
      <c r="K19" t="str">
        <v>38.8023</v>
      </c>
      <c r="L19" t="str">
        <v>0.356637</v>
      </c>
      <c r="M19" t="str">
        <v>60.0927</v>
      </c>
      <c r="N19" t="str">
        <v>2096.87</v>
      </c>
      <c r="O19" t="str">
        <v>0</v>
      </c>
      <c r="P19" t="str">
        <v>0</v>
      </c>
    </row>
    <row r="20" spans="1:16" x14ac:dyDescent="0.35">
      <c r="A20" t="s">
        <v>899</v>
      </c>
      <c r="J20" t="str" cm="1">
        <f t="array" ref="J20:P20">_xlfn.TEXTSPLIT(A20, ",")</f>
        <v>25</v>
      </c>
      <c r="K20" t="str">
        <v>4.91611</v>
      </c>
      <c r="L20" t="str">
        <v>0.0408077</v>
      </c>
      <c r="M20" t="str">
        <v>98.1337</v>
      </c>
      <c r="N20" t="str">
        <v>1.80649</v>
      </c>
      <c r="O20" t="str">
        <v>0</v>
      </c>
      <c r="P20" t="str">
        <v>0</v>
      </c>
    </row>
    <row r="21" spans="1:16" x14ac:dyDescent="0.35">
      <c r="A21" t="s">
        <v>900</v>
      </c>
      <c r="J21" t="str" cm="1">
        <f t="array" ref="J21:P21">_xlfn.TEXTSPLIT(A21, ",")</f>
        <v>30</v>
      </c>
      <c r="K21" t="str">
        <v>46.6467</v>
      </c>
      <c r="L21" t="str">
        <v>0.692966</v>
      </c>
      <c r="M21" t="str">
        <v>78.6052</v>
      </c>
      <c r="N21" t="str">
        <v>3.98081</v>
      </c>
      <c r="O21" t="str">
        <v>0</v>
      </c>
      <c r="P21" t="str">
        <v>0</v>
      </c>
    </row>
    <row r="22" spans="1:16" x14ac:dyDescent="0.35">
      <c r="A22" t="s">
        <v>901</v>
      </c>
      <c r="J22" t="str" cm="1">
        <f t="array" ref="J22:P22">_xlfn.TEXTSPLIT(A22, ",")</f>
        <v>35</v>
      </c>
      <c r="K22" t="str">
        <v>34.4368</v>
      </c>
      <c r="L22" t="str">
        <v>0.264194</v>
      </c>
      <c r="M22" t="str">
        <v>98.1601</v>
      </c>
      <c r="N22" t="str">
        <v>2.12279</v>
      </c>
      <c r="O22" t="str">
        <v>0</v>
      </c>
      <c r="P22" t="str">
        <v>0</v>
      </c>
    </row>
    <row r="23" spans="1:16" x14ac:dyDescent="0.35">
      <c r="A23" t="s">
        <v>902</v>
      </c>
      <c r="J23" t="str" cm="1">
        <f t="array" ref="J23:P23">_xlfn.TEXTSPLIT(A23, ",")</f>
        <v>40</v>
      </c>
      <c r="K23" t="str">
        <v>3.10138</v>
      </c>
      <c r="L23" t="str">
        <v>0.0366956</v>
      </c>
      <c r="M23" t="str">
        <v>80.0249</v>
      </c>
      <c r="N23" t="str">
        <v>2.04802</v>
      </c>
      <c r="O23" t="str">
        <v>0</v>
      </c>
      <c r="P23" t="str">
        <v>0</v>
      </c>
    </row>
    <row r="24" spans="1:16" x14ac:dyDescent="0.35">
      <c r="A24" t="s">
        <v>903</v>
      </c>
      <c r="J24" t="str" cm="1">
        <f t="array" ref="J24:P24">_xlfn.TEXTSPLIT(A24, ",")</f>
        <v>45</v>
      </c>
      <c r="K24" t="str">
        <v>10.1915</v>
      </c>
      <c r="L24" t="str">
        <v>0.110455</v>
      </c>
      <c r="M24" t="str">
        <v>40.1087</v>
      </c>
      <c r="N24" t="str">
        <v>6.14173</v>
      </c>
      <c r="O24" t="str">
        <v>0</v>
      </c>
      <c r="P24" t="str">
        <v>0</v>
      </c>
    </row>
    <row r="25" spans="1:16" x14ac:dyDescent="0.35">
      <c r="A25" t="s">
        <v>904</v>
      </c>
      <c r="J25" t="str" cm="1">
        <f t="array" ref="J25:P25">_xlfn.TEXTSPLIT(A25, ",")</f>
        <v>50</v>
      </c>
      <c r="K25" t="str">
        <v>22.106</v>
      </c>
      <c r="L25" t="str">
        <v>0.0708336</v>
      </c>
      <c r="M25" t="str">
        <v>89.2761</v>
      </c>
      <c r="N25" t="str">
        <v>1.103</v>
      </c>
      <c r="O25" t="str">
        <v>0</v>
      </c>
      <c r="P25" t="str">
        <v>0</v>
      </c>
    </row>
    <row r="28" spans="1:16" x14ac:dyDescent="0.35">
      <c r="A28" t="s">
        <v>893</v>
      </c>
      <c r="J28" t="str" cm="1">
        <f t="array" ref="J28:P28" xml:space="preserve"> _xlfn.TEXTSPLIT(A28, ",")</f>
        <v>Speed(m/s)</v>
      </c>
      <c r="K28" t="str">
        <v>AvgDelay(ms)</v>
      </c>
      <c r="L28" t="str">
        <v>Jitter(ms)</v>
      </c>
      <c r="M28" t="str">
        <v>PacketLoss(%)</v>
      </c>
      <c r="N28" t="str">
        <v>Throughput(Mbps)</v>
      </c>
      <c r="O28" t="str">
        <v>AvgSINR(dB)</v>
      </c>
      <c r="P28" t="str">
        <v>SINR_Std(dB)</v>
      </c>
    </row>
    <row r="29" spans="1:16" x14ac:dyDescent="0.35">
      <c r="A29" t="s">
        <v>905</v>
      </c>
      <c r="J29" t="str" cm="1">
        <f t="array" ref="J29:P29" xml:space="preserve"> _xlfn.TEXTSPLIT(A29, ",")</f>
        <v>0</v>
      </c>
      <c r="K29" t="str">
        <v>16.7838</v>
      </c>
      <c r="L29" t="str">
        <v>0.310703</v>
      </c>
      <c r="M29" t="str">
        <v>20.3939</v>
      </c>
      <c r="N29" t="str">
        <v>4.08217</v>
      </c>
      <c r="O29" t="str">
        <v>0</v>
      </c>
      <c r="P29" t="str">
        <v>0</v>
      </c>
    </row>
    <row r="30" spans="1:16" x14ac:dyDescent="0.35">
      <c r="A30" t="s">
        <v>906</v>
      </c>
      <c r="J30" t="str" cm="1">
        <f t="array" ref="J30:P30" xml:space="preserve"> _xlfn.TEXTSPLIT(A30, ",")</f>
        <v>5</v>
      </c>
      <c r="K30" t="str">
        <v>11.6722</v>
      </c>
      <c r="L30" t="str">
        <v>0.22207</v>
      </c>
      <c r="M30" t="str">
        <v>40.2695</v>
      </c>
      <c r="N30" t="str">
        <v>3.06234</v>
      </c>
      <c r="O30" t="str">
        <v>0</v>
      </c>
      <c r="P30" t="str">
        <v>0</v>
      </c>
    </row>
    <row r="31" spans="1:16" x14ac:dyDescent="0.35">
      <c r="A31" t="s">
        <v>907</v>
      </c>
      <c r="J31" t="str" cm="1">
        <f t="array" ref="J31:P31" xml:space="preserve"> _xlfn.TEXTSPLIT(A31, ",")</f>
        <v>10</v>
      </c>
      <c r="K31" t="str">
        <v>16.802</v>
      </c>
      <c r="L31" t="str">
        <v>0.309276</v>
      </c>
      <c r="M31" t="str">
        <v>39.4701</v>
      </c>
      <c r="N31" t="str">
        <v>4.10329</v>
      </c>
      <c r="O31" t="str">
        <v>0</v>
      </c>
      <c r="P31" t="str">
        <v>0</v>
      </c>
    </row>
    <row r="32" spans="1:16" x14ac:dyDescent="0.35">
      <c r="A32" t="s">
        <v>908</v>
      </c>
      <c r="J32" t="str" cm="1">
        <f t="array" ref="J32:P32" xml:space="preserve"> _xlfn.TEXTSPLIT(A32, ",")</f>
        <v>15</v>
      </c>
      <c r="K32" t="str">
        <v>16.0641</v>
      </c>
      <c r="L32" t="str">
        <v>0.287736</v>
      </c>
      <c r="M32" t="str">
        <v>20.243</v>
      </c>
      <c r="N32" t="str">
        <v>4.09017</v>
      </c>
      <c r="O32" t="str">
        <v>0</v>
      </c>
      <c r="P32" t="str">
        <v>0</v>
      </c>
    </row>
    <row r="33" spans="1:16" x14ac:dyDescent="0.35">
      <c r="A33" t="s">
        <v>909</v>
      </c>
      <c r="J33" t="str" cm="1">
        <f t="array" ref="J33:P33" xml:space="preserve"> _xlfn.TEXTSPLIT(A33, ",")</f>
        <v>20</v>
      </c>
      <c r="K33" t="str">
        <v>24.5218</v>
      </c>
      <c r="L33" t="str">
        <v>0.383197</v>
      </c>
      <c r="M33" t="str">
        <v>30.6917</v>
      </c>
      <c r="N33" t="str">
        <v>4.89957</v>
      </c>
      <c r="O33" t="str">
        <v>0</v>
      </c>
      <c r="P33" t="str">
        <v>0</v>
      </c>
    </row>
    <row r="34" spans="1:16" x14ac:dyDescent="0.35">
      <c r="A34" t="s">
        <v>910</v>
      </c>
      <c r="J34" t="str" cm="1">
        <f t="array" ref="J34:P34" xml:space="preserve"> _xlfn.TEXTSPLIT(A34, ",")</f>
        <v>25</v>
      </c>
      <c r="K34" t="str">
        <v>12.5067</v>
      </c>
      <c r="L34" t="str">
        <v>0.22631</v>
      </c>
      <c r="M34" t="str">
        <v>59.3225</v>
      </c>
      <c r="N34" t="str">
        <v>3.07145</v>
      </c>
      <c r="O34" t="str">
        <v>0</v>
      </c>
      <c r="P34" t="str">
        <v>0</v>
      </c>
    </row>
    <row r="35" spans="1:16" x14ac:dyDescent="0.35">
      <c r="A35" t="s">
        <v>911</v>
      </c>
      <c r="J35" t="str" cm="1">
        <f t="array" ref="J35:P35" xml:space="preserve"> _xlfn.TEXTSPLIT(A35, ",")</f>
        <v>30</v>
      </c>
      <c r="K35" t="str">
        <v>24.595</v>
      </c>
      <c r="L35" t="str">
        <v>0.305565</v>
      </c>
      <c r="M35" t="str">
        <v>44.6626</v>
      </c>
      <c r="N35" t="str">
        <v>3.96612</v>
      </c>
      <c r="O35" t="str">
        <v>0</v>
      </c>
      <c r="P35" t="str">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4BCE-83EF-47FA-9039-234B2BBC7442}">
  <dimension ref="A1:P37"/>
  <sheetViews>
    <sheetView topLeftCell="A17" workbookViewId="0">
      <selection activeCell="J26" sqref="J26:N37"/>
    </sheetView>
  </sheetViews>
  <sheetFormatPr defaultRowHeight="14.5" x14ac:dyDescent="0.35"/>
  <sheetData>
    <row r="1" spans="1:16" x14ac:dyDescent="0.35">
      <c r="A1" t="s">
        <v>447</v>
      </c>
      <c r="J1" t="str" cm="1">
        <f t="array" ref="J1:P1">_xlfn.TEXTSPLIT(A1, ",")</f>
        <v>Speed(m/s)</v>
      </c>
      <c r="K1" t="str">
        <v>AvgDelay(ms)</v>
      </c>
      <c r="L1" t="str">
        <v>Jitter(ms)</v>
      </c>
      <c r="M1" t="str">
        <v>PacketLoss(%)</v>
      </c>
      <c r="N1" t="str">
        <v>Throughput(Mbps)</v>
      </c>
      <c r="O1" t="str">
        <v>AvgSINR(dB)</v>
      </c>
      <c r="P1" t="str">
        <v>BLER(%)</v>
      </c>
    </row>
    <row r="2" spans="1:16" x14ac:dyDescent="0.35">
      <c r="A2" t="s">
        <v>675</v>
      </c>
      <c r="J2" t="str" cm="1">
        <f t="array" ref="J2:P2">_xlfn.TEXTSPLIT(A2, ",")</f>
        <v>0</v>
      </c>
      <c r="K2" t="str">
        <v>18.5695</v>
      </c>
      <c r="L2" t="str">
        <v>0.229586</v>
      </c>
      <c r="M2" t="str">
        <v>14.8219</v>
      </c>
      <c r="N2" t="str">
        <v>8.64559</v>
      </c>
      <c r="O2" t="str">
        <v>0</v>
      </c>
      <c r="P2" t="str">
        <v>14.8219</v>
      </c>
    </row>
    <row r="3" spans="1:16" x14ac:dyDescent="0.35">
      <c r="A3" t="s">
        <v>676</v>
      </c>
      <c r="J3" t="str" cm="1">
        <f t="array" ref="J3:P3">_xlfn.TEXTSPLIT(A3, ",")</f>
        <v>2.5</v>
      </c>
      <c r="K3" t="str">
        <v>20.7219</v>
      </c>
      <c r="L3" t="str">
        <v>0.236216</v>
      </c>
      <c r="M3" t="str">
        <v>17.2936</v>
      </c>
      <c r="N3" t="str">
        <v>8.39472</v>
      </c>
      <c r="O3" t="str">
        <v>0</v>
      </c>
      <c r="P3" t="str">
        <v>17.2936</v>
      </c>
    </row>
    <row r="4" spans="1:16" x14ac:dyDescent="0.35">
      <c r="A4" t="s">
        <v>677</v>
      </c>
      <c r="J4" t="str" cm="1">
        <f t="array" ref="J4:P4">_xlfn.TEXTSPLIT(A4, ",")</f>
        <v>5</v>
      </c>
      <c r="K4" t="str">
        <v>35.6903</v>
      </c>
      <c r="L4" t="str">
        <v>0.203968</v>
      </c>
      <c r="M4" t="str">
        <v>85.6483</v>
      </c>
      <c r="N4" t="str">
        <v>8.95786</v>
      </c>
      <c r="O4" t="str">
        <v>0</v>
      </c>
      <c r="P4" t="str">
        <v>85.6483</v>
      </c>
    </row>
    <row r="5" spans="1:16" x14ac:dyDescent="0.35">
      <c r="A5" t="s">
        <v>678</v>
      </c>
      <c r="J5" t="str" cm="1">
        <f t="array" ref="J5:P5">_xlfn.TEXTSPLIT(A5, ",")</f>
        <v>7.5</v>
      </c>
      <c r="K5" t="str">
        <v>22.6481</v>
      </c>
      <c r="L5" t="str">
        <v>0.139743</v>
      </c>
      <c r="M5" t="str">
        <v>99.952</v>
      </c>
      <c r="N5" t="str">
        <v>0.475205</v>
      </c>
      <c r="O5" t="str">
        <v>0</v>
      </c>
      <c r="P5" t="str">
        <v>99.952</v>
      </c>
    </row>
    <row r="6" spans="1:16" x14ac:dyDescent="0.35">
      <c r="A6" t="s">
        <v>679</v>
      </c>
      <c r="J6" t="str" cm="1">
        <f t="array" ref="J6:P6">_xlfn.TEXTSPLIT(A6, ",")</f>
        <v>10</v>
      </c>
      <c r="K6" t="str">
        <v>66.9797</v>
      </c>
      <c r="L6" t="str">
        <v>0.271306</v>
      </c>
      <c r="M6" t="str">
        <v>88.0624</v>
      </c>
      <c r="N6" t="str">
        <v>6.34967</v>
      </c>
      <c r="O6" t="str">
        <v>0</v>
      </c>
      <c r="P6" t="str">
        <v>88.0624</v>
      </c>
    </row>
    <row r="7" spans="1:16" x14ac:dyDescent="0.35">
      <c r="A7" t="s">
        <v>680</v>
      </c>
      <c r="J7" t="str" cm="1">
        <f t="array" ref="J7:P7">_xlfn.TEXTSPLIT(A7, ",")</f>
        <v>12.5</v>
      </c>
      <c r="K7" t="str">
        <v>27.5153</v>
      </c>
      <c r="L7" t="str">
        <v>0.223882</v>
      </c>
      <c r="M7" t="str">
        <v>14.376</v>
      </c>
      <c r="N7" t="str">
        <v>8.70153</v>
      </c>
      <c r="O7" t="str">
        <v>0</v>
      </c>
      <c r="P7" t="str">
        <v>14.376</v>
      </c>
    </row>
    <row r="8" spans="1:16" x14ac:dyDescent="0.35">
      <c r="A8" t="s">
        <v>681</v>
      </c>
      <c r="J8" t="str" cm="1">
        <f t="array" ref="J8:P8">_xlfn.TEXTSPLIT(A8, ",")</f>
        <v>15</v>
      </c>
      <c r="K8" t="str">
        <v>31.738</v>
      </c>
      <c r="L8" t="str">
        <v>0.218292</v>
      </c>
      <c r="M8" t="str">
        <v>12.5053</v>
      </c>
      <c r="N8" t="str">
        <v>8.88028</v>
      </c>
      <c r="O8" t="str">
        <v>0</v>
      </c>
      <c r="P8" t="str">
        <v>12.5053</v>
      </c>
    </row>
    <row r="9" spans="1:16" x14ac:dyDescent="0.35">
      <c r="A9" t="s">
        <v>682</v>
      </c>
      <c r="J9" t="str" cm="1">
        <f t="array" ref="J9:P9">_xlfn.TEXTSPLIT(A9, ",")</f>
        <v>17.5</v>
      </c>
      <c r="K9" t="str">
        <v>62.8502</v>
      </c>
      <c r="L9" t="str">
        <v>0.284776</v>
      </c>
      <c r="M9" t="str">
        <v>93.0264</v>
      </c>
      <c r="N9" t="str">
        <v>5.83819</v>
      </c>
      <c r="O9" t="str">
        <v>0</v>
      </c>
      <c r="P9" t="str">
        <v>93.0264</v>
      </c>
    </row>
    <row r="10" spans="1:16" x14ac:dyDescent="0.35">
      <c r="A10" t="s">
        <v>683</v>
      </c>
      <c r="J10" t="str" cm="1">
        <f t="array" ref="J10:P10">_xlfn.TEXTSPLIT(A10, ",")</f>
        <v>20</v>
      </c>
      <c r="K10" t="str">
        <v>27.2837</v>
      </c>
      <c r="L10" t="str">
        <v>0.209024</v>
      </c>
      <c r="M10" t="str">
        <v>9.32405</v>
      </c>
      <c r="N10" t="str">
        <v>9.2027</v>
      </c>
      <c r="O10" t="str">
        <v>0</v>
      </c>
      <c r="P10" t="str">
        <v>9.32405</v>
      </c>
    </row>
    <row r="11" spans="1:16" x14ac:dyDescent="0.35">
      <c r="A11" t="s">
        <v>684</v>
      </c>
      <c r="J11" t="str" cm="1">
        <f t="array" ref="J11:P11">_xlfn.TEXTSPLIT(A11, ",")</f>
        <v>22.5</v>
      </c>
      <c r="K11" t="str">
        <v>43.2743</v>
      </c>
      <c r="L11" t="str">
        <v>0.262805</v>
      </c>
      <c r="M11" t="str">
        <v>93.1092</v>
      </c>
      <c r="N11" t="str">
        <v>6.2057</v>
      </c>
      <c r="O11" t="str">
        <v>0</v>
      </c>
      <c r="P11" t="str">
        <v>93.1092</v>
      </c>
    </row>
    <row r="12" spans="1:16" x14ac:dyDescent="0.35">
      <c r="A12" t="s">
        <v>685</v>
      </c>
      <c r="J12" t="str" cm="1">
        <f t="array" ref="J12:P12">_xlfn.TEXTSPLIT(A12, ",")</f>
        <v>25</v>
      </c>
      <c r="K12" t="str">
        <v>25.4962</v>
      </c>
      <c r="L12" t="str">
        <v>0.215287</v>
      </c>
      <c r="M12" t="str">
        <v>12.6437</v>
      </c>
      <c r="N12" t="str">
        <v>8.8658</v>
      </c>
      <c r="O12" t="str">
        <v>0</v>
      </c>
      <c r="P12" t="str">
        <v>12.6437</v>
      </c>
    </row>
    <row r="13" spans="1:16" x14ac:dyDescent="0.35">
      <c r="A13" t="s">
        <v>686</v>
      </c>
      <c r="J13" t="str" cm="1">
        <f t="array" ref="J13:P13">_xlfn.TEXTSPLIT(A13, ",")</f>
        <v>27.5</v>
      </c>
      <c r="K13" t="str">
        <v>26.6873</v>
      </c>
      <c r="L13" t="str">
        <v>0.221611</v>
      </c>
      <c r="M13" t="str">
        <v>16.1376</v>
      </c>
      <c r="N13" t="str">
        <v>8.51142</v>
      </c>
      <c r="O13" t="str">
        <v>0</v>
      </c>
      <c r="P13" t="str">
        <v>16.1376</v>
      </c>
    </row>
    <row r="14" spans="1:16" x14ac:dyDescent="0.35">
      <c r="A14" t="s">
        <v>687</v>
      </c>
      <c r="J14" t="str" cm="1">
        <f t="array" ref="J14:P14">_xlfn.TEXTSPLIT(A14, ",")</f>
        <v>30</v>
      </c>
      <c r="K14" t="str">
        <v>25.8437</v>
      </c>
      <c r="L14" t="str">
        <v>0.225045</v>
      </c>
      <c r="M14" t="str">
        <v>18.2011</v>
      </c>
      <c r="N14" t="str">
        <v>8.30237</v>
      </c>
      <c r="O14" t="str">
        <v>0</v>
      </c>
      <c r="P14" t="str">
        <v>18.2011</v>
      </c>
    </row>
    <row r="15" spans="1:16" x14ac:dyDescent="0.35">
      <c r="A15" t="s">
        <v>688</v>
      </c>
      <c r="J15" t="str" cm="1">
        <f t="array" ref="J15:P15">_xlfn.TEXTSPLIT(A15, ",")</f>
        <v>32.5</v>
      </c>
      <c r="K15" t="str">
        <v>29.7628</v>
      </c>
      <c r="L15" t="str">
        <v>0.233729</v>
      </c>
      <c r="M15" t="str">
        <v>21.5789</v>
      </c>
      <c r="N15" t="str">
        <v>7.99357</v>
      </c>
      <c r="O15" t="str">
        <v>0</v>
      </c>
      <c r="P15" t="str">
        <v>21.5789</v>
      </c>
    </row>
    <row r="16" spans="1:16" x14ac:dyDescent="0.35">
      <c r="A16" t="s">
        <v>689</v>
      </c>
      <c r="J16" t="str" cm="1">
        <f t="array" ref="J16:P16">_xlfn.TEXTSPLIT(A16, ",")</f>
        <v>35</v>
      </c>
      <c r="K16" t="str">
        <v>29.5358</v>
      </c>
      <c r="L16" t="str">
        <v>0.241342</v>
      </c>
      <c r="M16" t="str">
        <v>49.1677</v>
      </c>
      <c r="N16" t="str">
        <v>7.64217</v>
      </c>
      <c r="O16" t="str">
        <v>0</v>
      </c>
      <c r="P16" t="str">
        <v>49.1677</v>
      </c>
    </row>
    <row r="17" spans="1:16" x14ac:dyDescent="0.35">
      <c r="A17" t="s">
        <v>690</v>
      </c>
      <c r="J17" t="str" cm="1">
        <f t="array" ref="J17:P17">_xlfn.TEXTSPLIT(A17, ",")</f>
        <v>37.5</v>
      </c>
      <c r="K17" t="str">
        <v>30.2776</v>
      </c>
      <c r="L17" t="str">
        <v>0.240926</v>
      </c>
      <c r="M17" t="str">
        <v>39.1452</v>
      </c>
      <c r="N17" t="str">
        <v>7.68721</v>
      </c>
      <c r="O17" t="str">
        <v>0</v>
      </c>
      <c r="P17" t="str">
        <v>39.1452</v>
      </c>
    </row>
    <row r="18" spans="1:16" x14ac:dyDescent="0.35">
      <c r="A18" t="s">
        <v>691</v>
      </c>
      <c r="J18" t="str" cm="1">
        <f t="array" ref="J18:P18">_xlfn.TEXTSPLIT(A18, ",")</f>
        <v>40</v>
      </c>
      <c r="K18" t="str">
        <v>32.8115</v>
      </c>
      <c r="L18" t="str">
        <v>0.242721</v>
      </c>
      <c r="M18" t="str">
        <v>40.2967</v>
      </c>
      <c r="N18" t="str">
        <v>7.67298</v>
      </c>
      <c r="O18" t="str">
        <v>0</v>
      </c>
      <c r="P18" t="str">
        <v>40.2967</v>
      </c>
    </row>
    <row r="19" spans="1:16" x14ac:dyDescent="0.35">
      <c r="A19" t="s">
        <v>692</v>
      </c>
      <c r="J19" t="str" cm="1">
        <f t="array" ref="J19:P19">_xlfn.TEXTSPLIT(A19, ",")</f>
        <v>42.5</v>
      </c>
      <c r="K19" t="str">
        <v>111.921</v>
      </c>
      <c r="L19" t="str">
        <v>0.497855</v>
      </c>
      <c r="M19" t="str">
        <v>99.0005</v>
      </c>
      <c r="N19" t="str">
        <v>2.52621</v>
      </c>
      <c r="O19" t="str">
        <v>0</v>
      </c>
      <c r="P19" t="str">
        <v>99.0005</v>
      </c>
    </row>
    <row r="20" spans="1:16" x14ac:dyDescent="0.35">
      <c r="A20" t="s">
        <v>693</v>
      </c>
      <c r="J20" t="str" cm="1">
        <f t="array" ref="J20:P20">_xlfn.TEXTSPLIT(A20, ",")</f>
        <v>45</v>
      </c>
      <c r="K20" t="str">
        <v>30.2128</v>
      </c>
      <c r="L20" t="str">
        <v>0.245076</v>
      </c>
      <c r="M20" t="str">
        <v>46.3172</v>
      </c>
      <c r="N20" t="str">
        <v>7.58983</v>
      </c>
      <c r="O20" t="str">
        <v>0</v>
      </c>
      <c r="P20" t="str">
        <v>46.3172</v>
      </c>
    </row>
    <row r="21" spans="1:16" x14ac:dyDescent="0.35">
      <c r="A21" t="s">
        <v>694</v>
      </c>
      <c r="J21" t="str" cm="1">
        <f t="array" ref="J21:P21">_xlfn.TEXTSPLIT(A21, ",")</f>
        <v>47.5</v>
      </c>
      <c r="K21" t="str">
        <v>32.5221</v>
      </c>
      <c r="L21" t="str">
        <v>0.243367</v>
      </c>
      <c r="M21" t="str">
        <v>48.3768</v>
      </c>
      <c r="N21" t="str">
        <v>7.61678</v>
      </c>
      <c r="O21" t="str">
        <v>0</v>
      </c>
      <c r="P21" t="str">
        <v>48.3768</v>
      </c>
    </row>
    <row r="22" spans="1:16" x14ac:dyDescent="0.35">
      <c r="A22" t="s">
        <v>695</v>
      </c>
      <c r="J22" t="str" cm="1">
        <f t="array" ref="J22:P22">_xlfn.TEXTSPLIT(A22, ",")</f>
        <v>50</v>
      </c>
      <c r="K22" t="str">
        <v>32.2177</v>
      </c>
      <c r="L22" t="str">
        <v>0.216735</v>
      </c>
      <c r="M22" t="str">
        <v>71.8829</v>
      </c>
      <c r="N22" t="str">
        <v>8.73914</v>
      </c>
      <c r="O22" t="str">
        <v>0</v>
      </c>
      <c r="P22" t="str">
        <v>71.8829</v>
      </c>
    </row>
    <row r="26" spans="1:16" x14ac:dyDescent="0.35">
      <c r="A26" t="s">
        <v>447</v>
      </c>
      <c r="J26" t="str" cm="1">
        <f t="array" ref="J26:P26">_xlfn.TEXTSPLIT(A26, ",")</f>
        <v>Speed(m/s)</v>
      </c>
      <c r="K26" t="str">
        <v>AvgDelay(ms)</v>
      </c>
      <c r="L26" t="str">
        <v>Jitter(ms)</v>
      </c>
      <c r="M26" t="str">
        <v>PacketLoss(%)</v>
      </c>
      <c r="N26" t="str">
        <v>Throughput(Mbps)</v>
      </c>
      <c r="O26" t="str">
        <v>AvgSINR(dB)</v>
      </c>
      <c r="P26" t="str">
        <v>BLER(%)</v>
      </c>
    </row>
    <row r="27" spans="1:16" x14ac:dyDescent="0.35">
      <c r="A27" t="s">
        <v>717</v>
      </c>
      <c r="J27" s="1" t="str" cm="1">
        <f t="array" ref="J27:P27">_xlfn.TEXTSPLIT(A27, ",")</f>
        <v>0</v>
      </c>
      <c r="K27" s="1" t="str">
        <v>0.941974</v>
      </c>
      <c r="L27" s="1" t="str">
        <v>0.499854</v>
      </c>
      <c r="M27" s="1" t="str">
        <v>0.00277747</v>
      </c>
      <c r="N27" s="1" t="str">
        <v>1.84496</v>
      </c>
      <c r="O27" s="1" t="str">
        <v>0</v>
      </c>
      <c r="P27" s="1" t="str">
        <v>0.00277747</v>
      </c>
    </row>
    <row r="28" spans="1:16" x14ac:dyDescent="0.35">
      <c r="A28" t="s">
        <v>718</v>
      </c>
      <c r="J28" s="1" t="str" cm="1">
        <f t="array" ref="J28:P28">_xlfn.TEXTSPLIT(A28, ",")</f>
        <v>5</v>
      </c>
      <c r="K28" s="1" t="str">
        <v>0.941974</v>
      </c>
      <c r="L28" s="1" t="str">
        <v>0.499854</v>
      </c>
      <c r="M28" s="1" t="str">
        <v>0.00277747</v>
      </c>
      <c r="N28" s="1" t="str">
        <v>1.84496</v>
      </c>
      <c r="O28" s="1" t="str">
        <v>0</v>
      </c>
      <c r="P28" s="1" t="str">
        <v>0.00277747</v>
      </c>
    </row>
    <row r="29" spans="1:16" x14ac:dyDescent="0.35">
      <c r="A29" t="s">
        <v>719</v>
      </c>
      <c r="J29" s="1" t="str" cm="1">
        <f t="array" ref="J29:P29">_xlfn.TEXTSPLIT(A29, ",")</f>
        <v>10</v>
      </c>
      <c r="K29" s="1" t="str">
        <v>1.29943</v>
      </c>
      <c r="L29" s="1" t="str">
        <v>0.272334</v>
      </c>
      <c r="M29" s="1" t="str">
        <v>0.00555494</v>
      </c>
      <c r="N29" s="1" t="str">
        <v>1.8449</v>
      </c>
      <c r="O29" s="1" t="str">
        <v>0</v>
      </c>
      <c r="P29" s="1" t="str">
        <v>0.00555494</v>
      </c>
    </row>
    <row r="30" spans="1:16" x14ac:dyDescent="0.35">
      <c r="A30" t="s">
        <v>720</v>
      </c>
      <c r="J30" s="1" t="str" cm="1">
        <f t="array" ref="J30:P30">_xlfn.TEXTSPLIT(A30, ",")</f>
        <v>15</v>
      </c>
      <c r="K30" s="1" t="str">
        <v>1.48701</v>
      </c>
      <c r="L30" s="1" t="str">
        <v>0.329139</v>
      </c>
      <c r="M30" s="1" t="str">
        <v>58.7601</v>
      </c>
      <c r="N30" s="1" t="str">
        <v>1.61645</v>
      </c>
      <c r="O30" s="1" t="str">
        <v>0</v>
      </c>
      <c r="P30" s="1" t="str">
        <v>58.7601</v>
      </c>
    </row>
    <row r="31" spans="1:16" x14ac:dyDescent="0.35">
      <c r="A31" t="s">
        <v>721</v>
      </c>
      <c r="J31" s="1" t="str" cm="1">
        <f t="array" ref="J31:P31">_xlfn.TEXTSPLIT(A31, ",")</f>
        <v>20</v>
      </c>
      <c r="K31" s="1" t="str">
        <v>1.12875</v>
      </c>
      <c r="L31" s="1" t="str">
        <v>0.213157</v>
      </c>
      <c r="M31" s="1" t="str">
        <v>82.2186</v>
      </c>
      <c r="N31" s="1" t="str">
        <v>1.26487</v>
      </c>
      <c r="O31" s="1" t="str">
        <v>0</v>
      </c>
      <c r="P31" s="1" t="str">
        <v>82.2186</v>
      </c>
    </row>
    <row r="32" spans="1:16" x14ac:dyDescent="0.35">
      <c r="A32" t="s">
        <v>722</v>
      </c>
      <c r="J32" s="1" t="str" cm="1">
        <f t="array" ref="J32:P32">_xlfn.TEXTSPLIT(A32, ",")</f>
        <v>25</v>
      </c>
      <c r="K32" s="1" t="str">
        <v>0.809153</v>
      </c>
      <c r="L32" s="1" t="str">
        <v>0.232695</v>
      </c>
      <c r="M32" s="1" t="str">
        <v>0.00277747</v>
      </c>
      <c r="N32" s="1" t="str">
        <v>1.84496</v>
      </c>
      <c r="O32" s="1" t="str">
        <v>0</v>
      </c>
      <c r="P32" s="1" t="str">
        <v>0.00277747</v>
      </c>
    </row>
    <row r="33" spans="1:16" x14ac:dyDescent="0.35">
      <c r="A33" t="s">
        <v>723</v>
      </c>
      <c r="J33" s="1" t="str" cm="1">
        <f t="array" ref="J33:P33">_xlfn.TEXTSPLIT(A33, ",")</f>
        <v>30</v>
      </c>
      <c r="K33" s="1" t="str">
        <v>0.78042</v>
      </c>
      <c r="L33" s="1" t="str">
        <v>0.173291</v>
      </c>
      <c r="M33" s="1" t="str">
        <v>0.00277747</v>
      </c>
      <c r="N33" s="1" t="str">
        <v>1.84496</v>
      </c>
      <c r="O33" s="1" t="str">
        <v>0</v>
      </c>
      <c r="P33" s="1" t="str">
        <v>0.00277747</v>
      </c>
    </row>
    <row r="34" spans="1:16" x14ac:dyDescent="0.35">
      <c r="A34" t="s">
        <v>724</v>
      </c>
      <c r="J34" s="1" t="str" cm="1">
        <f t="array" ref="J34:P34">_xlfn.TEXTSPLIT(A34, ",")</f>
        <v>35</v>
      </c>
      <c r="K34" s="1" t="str">
        <v>1.83889</v>
      </c>
      <c r="L34" s="1" t="str">
        <v>0.371178</v>
      </c>
      <c r="M34" s="1" t="str">
        <v>77.9302</v>
      </c>
      <c r="N34" s="1" t="str">
        <v>1.32312</v>
      </c>
      <c r="O34" s="1" t="str">
        <v>0</v>
      </c>
      <c r="P34" s="1" t="str">
        <v>77.9302</v>
      </c>
    </row>
    <row r="35" spans="1:16" x14ac:dyDescent="0.35">
      <c r="A35" t="s">
        <v>725</v>
      </c>
      <c r="J35" s="1" t="str" cm="1">
        <f t="array" ref="J35:P35">_xlfn.TEXTSPLIT(A35, ",")</f>
        <v>40</v>
      </c>
      <c r="K35" s="1" t="str">
        <v>0.746407</v>
      </c>
      <c r="L35" s="1" t="str">
        <v>0.105195</v>
      </c>
      <c r="M35" s="1" t="str">
        <v>0.00277747</v>
      </c>
      <c r="N35" s="1" t="str">
        <v>1.84496</v>
      </c>
      <c r="O35" s="1" t="str">
        <v>0</v>
      </c>
      <c r="P35" s="1" t="str">
        <v>0.00277747</v>
      </c>
    </row>
    <row r="36" spans="1:16" x14ac:dyDescent="0.35">
      <c r="A36" t="s">
        <v>726</v>
      </c>
      <c r="J36" s="1" t="str" cm="1">
        <f t="array" ref="J36:P36">_xlfn.TEXTSPLIT(A36, ",")</f>
        <v>45</v>
      </c>
      <c r="K36" s="1" t="str">
        <v>47.9354</v>
      </c>
      <c r="L36" s="1" t="str">
        <v>0.720359</v>
      </c>
      <c r="M36" s="1" t="str">
        <v>96.6365</v>
      </c>
      <c r="N36" s="1" t="str">
        <v>0.45212</v>
      </c>
      <c r="O36" s="1" t="str">
        <v>0</v>
      </c>
      <c r="P36" s="1" t="str">
        <v>96.6365</v>
      </c>
    </row>
    <row r="37" spans="1:16" x14ac:dyDescent="0.35">
      <c r="A37" t="s">
        <v>727</v>
      </c>
      <c r="J37" s="1" t="str" cm="1">
        <f t="array" ref="J37:P37">_xlfn.TEXTSPLIT(A37, ",")</f>
        <v>50</v>
      </c>
      <c r="K37" s="1" t="str">
        <v>0.754211</v>
      </c>
      <c r="L37" s="1" t="str">
        <v>0.120245</v>
      </c>
      <c r="M37" s="1" t="str">
        <v>0.00277747</v>
      </c>
      <c r="N37" s="1" t="str">
        <v>1.84496</v>
      </c>
      <c r="O37" s="1" t="str">
        <v>0</v>
      </c>
      <c r="P37" s="1" t="str">
        <v>0.00277747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5FA8D-3E88-4257-A42E-DA25043F07B0}">
  <dimension ref="A1:P17"/>
  <sheetViews>
    <sheetView workbookViewId="0">
      <selection activeCell="K20" sqref="K20"/>
    </sheetView>
  </sheetViews>
  <sheetFormatPr defaultRowHeight="14.5" x14ac:dyDescent="0.35"/>
  <sheetData>
    <row r="1" spans="1:16" x14ac:dyDescent="0.35">
      <c r="A1" t="s">
        <v>0</v>
      </c>
      <c r="J1" t="str" cm="1">
        <f t="array" ref="J1:P1">_xlfn.TEXTSPLIT(A1, ",")</f>
        <v>Altitude(m)</v>
      </c>
      <c r="K1" t="str">
        <v>AvgDelay(ms)</v>
      </c>
      <c r="L1" t="str">
        <v>Jitter(ms)</v>
      </c>
      <c r="M1" t="str">
        <v>PacketLoss(%)</v>
      </c>
      <c r="N1" t="str">
        <v>Throughput(Mbps)</v>
      </c>
      <c r="O1" t="str">
        <v>AvgSINR(dB)</v>
      </c>
      <c r="P1" t="str">
        <v>BLER(%)</v>
      </c>
    </row>
    <row r="2" spans="1:16" x14ac:dyDescent="0.35">
      <c r="A2" t="s">
        <v>728</v>
      </c>
      <c r="J2" t="str" cm="1">
        <f t="array" ref="J2:P2">_xlfn.TEXTSPLIT(A2, ",")</f>
        <v>1.5</v>
      </c>
      <c r="K2" t="str">
        <v>0.000502</v>
      </c>
      <c r="L2" t="str">
        <v>0</v>
      </c>
      <c r="M2" t="str">
        <v>0</v>
      </c>
      <c r="N2" t="str">
        <v>13441.7</v>
      </c>
      <c r="O2" t="str">
        <v>0</v>
      </c>
      <c r="P2" t="str">
        <v>0</v>
      </c>
    </row>
    <row r="3" spans="1:16" x14ac:dyDescent="0.35">
      <c r="A3" t="s">
        <v>729</v>
      </c>
      <c r="J3" t="str" cm="1">
        <f t="array" ref="J3:P3">_xlfn.TEXTSPLIT(A3, ",")</f>
        <v>10</v>
      </c>
      <c r="K3" t="str">
        <v>0.000502</v>
      </c>
      <c r="L3" t="str">
        <v>0</v>
      </c>
      <c r="M3" t="str">
        <v>0</v>
      </c>
      <c r="N3" t="str">
        <v>13441.7</v>
      </c>
      <c r="O3" t="str">
        <v>0</v>
      </c>
      <c r="P3" t="str">
        <v>0</v>
      </c>
    </row>
    <row r="4" spans="1:16" x14ac:dyDescent="0.35">
      <c r="A4" t="s">
        <v>730</v>
      </c>
      <c r="J4" t="str" cm="1">
        <f t="array" ref="J4:P4">_xlfn.TEXTSPLIT(A4, ",")</f>
        <v>20</v>
      </c>
      <c r="K4" t="str">
        <v>0.000502</v>
      </c>
      <c r="L4" t="str">
        <v>0</v>
      </c>
      <c r="M4" t="str">
        <v>0</v>
      </c>
      <c r="N4" t="str">
        <v>13441.7</v>
      </c>
      <c r="O4" t="str">
        <v>0</v>
      </c>
      <c r="P4" t="str">
        <v>0</v>
      </c>
    </row>
    <row r="5" spans="1:16" x14ac:dyDescent="0.35">
      <c r="A5" t="s">
        <v>731</v>
      </c>
      <c r="J5" t="str" cm="1">
        <f t="array" ref="J5:P5">_xlfn.TEXTSPLIT(A5, ",")</f>
        <v>1.5</v>
      </c>
      <c r="K5" t="str">
        <v>1.4419</v>
      </c>
      <c r="L5" t="str">
        <v>0.333253</v>
      </c>
      <c r="M5" t="str">
        <v>0.00555494</v>
      </c>
      <c r="N5" t="str">
        <v>1.84489</v>
      </c>
      <c r="O5" t="str">
        <v>0</v>
      </c>
      <c r="P5" t="str">
        <v>0.00555494</v>
      </c>
    </row>
    <row r="6" spans="1:16" x14ac:dyDescent="0.35">
      <c r="A6" t="s">
        <v>732</v>
      </c>
      <c r="J6" t="str" cm="1">
        <f t="array" ref="J6:P6">_xlfn.TEXTSPLIT(A6, ",")</f>
        <v>10</v>
      </c>
      <c r="K6" t="str">
        <v>1.44191</v>
      </c>
      <c r="L6" t="str">
        <v>0.333253</v>
      </c>
      <c r="M6" t="str">
        <v>0.00555494</v>
      </c>
      <c r="N6" t="str">
        <v>1.84489</v>
      </c>
      <c r="O6" t="str">
        <v>0</v>
      </c>
      <c r="P6" t="str">
        <v>0.00555494</v>
      </c>
    </row>
    <row r="7" spans="1:16" x14ac:dyDescent="0.35">
      <c r="A7" t="s">
        <v>733</v>
      </c>
      <c r="J7" t="str" cm="1">
        <f t="array" ref="J7:P7">_xlfn.TEXTSPLIT(A7, ",")</f>
        <v>20</v>
      </c>
      <c r="K7" t="str">
        <v>1.24145</v>
      </c>
      <c r="L7" t="str">
        <v>0.241211</v>
      </c>
      <c r="M7" t="str">
        <v>0.00555494</v>
      </c>
      <c r="N7" t="str">
        <v>1.84493</v>
      </c>
      <c r="O7" t="str">
        <v>0</v>
      </c>
      <c r="P7" t="str">
        <v>0.00555494</v>
      </c>
    </row>
    <row r="8" spans="1:16" x14ac:dyDescent="0.35">
      <c r="A8" t="s">
        <v>734</v>
      </c>
      <c r="J8" t="str" cm="1">
        <f t="array" ref="J8:P8">_xlfn.TEXTSPLIT(A8, ",")</f>
        <v>30</v>
      </c>
      <c r="K8" t="str">
        <v>1.19496</v>
      </c>
      <c r="L8" t="str">
        <v>0.243711</v>
      </c>
      <c r="M8" t="str">
        <v>0.00833241</v>
      </c>
      <c r="N8" t="str">
        <v>1.84488</v>
      </c>
      <c r="O8" t="str">
        <v>0</v>
      </c>
      <c r="P8" t="str">
        <v>0.00833241</v>
      </c>
    </row>
    <row r="9" spans="1:16" x14ac:dyDescent="0.35">
      <c r="A9" t="s">
        <v>735</v>
      </c>
      <c r="J9" t="str" cm="1">
        <f t="array" ref="J9:P9">_xlfn.TEXTSPLIT(A9, ",")</f>
        <v>40</v>
      </c>
      <c r="K9" t="str">
        <v>3.35158</v>
      </c>
      <c r="L9" t="str">
        <v>0.339175</v>
      </c>
      <c r="M9" t="str">
        <v>42.8647</v>
      </c>
      <c r="N9" t="str">
        <v>1.71515</v>
      </c>
      <c r="O9" t="str">
        <v>0</v>
      </c>
      <c r="P9" t="str">
        <v>42.8647</v>
      </c>
    </row>
    <row r="10" spans="1:16" x14ac:dyDescent="0.35">
      <c r="A10" t="s">
        <v>736</v>
      </c>
      <c r="J10" t="str" cm="1">
        <f t="array" ref="J10:P10">_xlfn.TEXTSPLIT(A10, ",")</f>
        <v>50</v>
      </c>
      <c r="K10" t="str">
        <v>1.32939</v>
      </c>
      <c r="L10" t="str">
        <v>0.287217</v>
      </c>
      <c r="M10" t="str">
        <v>0.00833241</v>
      </c>
      <c r="N10" t="str">
        <v>1.84486</v>
      </c>
      <c r="O10" t="str">
        <v>0</v>
      </c>
      <c r="P10" t="str">
        <v>0.00833241</v>
      </c>
    </row>
    <row r="11" spans="1:16" x14ac:dyDescent="0.35">
      <c r="A11" t="s">
        <v>737</v>
      </c>
      <c r="J11" t="str" cm="1">
        <f t="array" ref="J11:P11">_xlfn.TEXTSPLIT(A11, ",")</f>
        <v>80</v>
      </c>
      <c r="K11" t="str">
        <v>1.44192</v>
      </c>
      <c r="L11" t="str">
        <v>0.33325</v>
      </c>
      <c r="M11" t="str">
        <v>0.00555494</v>
      </c>
      <c r="N11" t="str">
        <v>1.84489</v>
      </c>
      <c r="O11" t="str">
        <v>0</v>
      </c>
      <c r="P11" t="str">
        <v>0.00555494</v>
      </c>
    </row>
    <row r="12" spans="1:16" x14ac:dyDescent="0.35">
      <c r="A12" t="s">
        <v>738</v>
      </c>
      <c r="J12" t="str" cm="1">
        <f t="array" ref="J12:P12">_xlfn.TEXTSPLIT(A12, ",")</f>
        <v>100</v>
      </c>
      <c r="K12" t="str">
        <v>1.42941</v>
      </c>
      <c r="L12" t="str">
        <v>0.349913</v>
      </c>
      <c r="M12" t="str">
        <v>0.00555494</v>
      </c>
      <c r="N12" t="str">
        <v>1.8449</v>
      </c>
      <c r="O12" t="str">
        <v>0</v>
      </c>
      <c r="P12" t="str">
        <v>0.00555494</v>
      </c>
    </row>
    <row r="13" spans="1:16" x14ac:dyDescent="0.35">
      <c r="A13" t="s">
        <v>739</v>
      </c>
      <c r="J13" t="str" cm="1">
        <f t="array" ref="J13:P13">_xlfn.TEXTSPLIT(A13, ",")</f>
        <v>120</v>
      </c>
      <c r="K13" t="str">
        <v>0.000502</v>
      </c>
      <c r="L13" t="str">
        <v>0</v>
      </c>
      <c r="M13" t="str">
        <v>99.9889</v>
      </c>
      <c r="N13" t="str">
        <v>13441.7</v>
      </c>
      <c r="O13" t="str">
        <v>0</v>
      </c>
      <c r="P13" t="str">
        <v>99.9889</v>
      </c>
    </row>
    <row r="14" spans="1:16" x14ac:dyDescent="0.35">
      <c r="A14" t="s">
        <v>740</v>
      </c>
      <c r="J14" t="str" cm="1">
        <f t="array" ref="J14:P14">_xlfn.TEXTSPLIT(A14, ",")</f>
        <v>140</v>
      </c>
      <c r="K14" t="str">
        <v>0.897961</v>
      </c>
      <c r="L14" t="str">
        <v>0.115101</v>
      </c>
      <c r="M14" t="str">
        <v>0.00555494</v>
      </c>
      <c r="N14" t="str">
        <v>1.84489</v>
      </c>
      <c r="O14" t="str">
        <v>0</v>
      </c>
      <c r="P14" t="str">
        <v>0.00555494</v>
      </c>
    </row>
    <row r="15" spans="1:16" x14ac:dyDescent="0.35">
      <c r="A15" t="s">
        <v>741</v>
      </c>
      <c r="J15" t="str" cm="1">
        <f t="array" ref="J15:P15">_xlfn.TEXTSPLIT(A15, ",")</f>
        <v>160</v>
      </c>
      <c r="K15" t="str">
        <v>1.42966</v>
      </c>
      <c r="L15" t="str">
        <v>0.349937</v>
      </c>
      <c r="M15" t="str">
        <v>0.00555494</v>
      </c>
      <c r="N15" t="str">
        <v>1.84491</v>
      </c>
      <c r="O15" t="str">
        <v>0</v>
      </c>
      <c r="P15" t="str">
        <v>0.00555494</v>
      </c>
    </row>
    <row r="16" spans="1:16" x14ac:dyDescent="0.35">
      <c r="A16" t="s">
        <v>742</v>
      </c>
      <c r="J16" t="str" cm="1">
        <f t="array" ref="J16:P16">_xlfn.TEXTSPLIT(A16, ",")</f>
        <v>180</v>
      </c>
      <c r="K16" t="str">
        <v>1.02374</v>
      </c>
      <c r="L16" t="str">
        <v>0.164662</v>
      </c>
      <c r="M16" t="str">
        <v>0.00833241</v>
      </c>
      <c r="N16" t="str">
        <v>1.84489</v>
      </c>
      <c r="O16" t="str">
        <v>0</v>
      </c>
      <c r="P16" t="str">
        <v>0.00833241</v>
      </c>
    </row>
    <row r="17" spans="1:16" x14ac:dyDescent="0.35">
      <c r="A17" t="s">
        <v>743</v>
      </c>
      <c r="J17" t="str" cm="1">
        <f t="array" ref="J17:P17">_xlfn.TEXTSPLIT(A17, ",")</f>
        <v>200</v>
      </c>
      <c r="K17" t="str">
        <v>1.06738</v>
      </c>
      <c r="L17" t="str">
        <v>0.187547</v>
      </c>
      <c r="M17" t="str">
        <v>0.00277747</v>
      </c>
      <c r="N17" t="str">
        <v>1.84496</v>
      </c>
      <c r="O17" t="str">
        <v>0</v>
      </c>
      <c r="P17" t="str">
        <v>0.00277747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F4C08-0D7C-4890-8E0A-0CFF31592CE0}">
  <dimension ref="A1:P29"/>
  <sheetViews>
    <sheetView topLeftCell="A10" workbookViewId="0">
      <selection activeCell="J17" sqref="J17:N29"/>
    </sheetView>
  </sheetViews>
  <sheetFormatPr defaultRowHeight="14.5" x14ac:dyDescent="0.35"/>
  <sheetData>
    <row r="1" spans="1:16" x14ac:dyDescent="0.35">
      <c r="A1" t="s">
        <v>0</v>
      </c>
      <c r="J1" t="str" cm="1">
        <f t="array" ref="J1:P1">_xlfn.TEXTSPLIT(A1,",")</f>
        <v>Altitude(m)</v>
      </c>
      <c r="K1" t="str">
        <v>AvgDelay(ms)</v>
      </c>
      <c r="L1" t="str">
        <v>Jitter(ms)</v>
      </c>
      <c r="M1" t="str">
        <v>PacketLoss(%)</v>
      </c>
      <c r="N1" t="str">
        <v>Throughput(Mbps)</v>
      </c>
      <c r="O1" t="str">
        <v>AvgSINR(dB)</v>
      </c>
      <c r="P1" t="str">
        <v>BLER(%)</v>
      </c>
    </row>
    <row r="2" spans="1:16" x14ac:dyDescent="0.35">
      <c r="A2" t="s">
        <v>769</v>
      </c>
      <c r="J2" t="str" cm="1">
        <f t="array" ref="J2:P2">_xlfn.TEXTSPLIT(A2,",")</f>
        <v>1.5</v>
      </c>
      <c r="K2" t="str">
        <v>0.767171</v>
      </c>
      <c r="L2" t="str">
        <v>0.145629</v>
      </c>
      <c r="M2" t="str">
        <v>0.00277747</v>
      </c>
      <c r="N2" t="str">
        <v>1.84496</v>
      </c>
      <c r="O2" t="str">
        <v>0</v>
      </c>
      <c r="P2" t="str">
        <v>0.00277747</v>
      </c>
    </row>
    <row r="3" spans="1:16" x14ac:dyDescent="0.35">
      <c r="A3" t="s">
        <v>770</v>
      </c>
      <c r="J3" t="str" cm="1">
        <f t="array" ref="J3:P3">_xlfn.TEXTSPLIT(A3,",")</f>
        <v>10</v>
      </c>
      <c r="K3" t="str">
        <v>0.824983</v>
      </c>
      <c r="L3" t="str">
        <v>0.263221</v>
      </c>
      <c r="M3" t="str">
        <v>0.00277747</v>
      </c>
      <c r="N3" t="str">
        <v>1.84496</v>
      </c>
      <c r="O3" t="str">
        <v>0</v>
      </c>
      <c r="P3" t="str">
        <v>0.00277747</v>
      </c>
    </row>
    <row r="4" spans="1:16" x14ac:dyDescent="0.35">
      <c r="A4" t="s">
        <v>771</v>
      </c>
      <c r="J4" t="str" cm="1">
        <f t="array" ref="J4:P4">_xlfn.TEXTSPLIT(A4,",")</f>
        <v>20</v>
      </c>
      <c r="K4" t="str">
        <v>2.45673</v>
      </c>
      <c r="L4" t="str">
        <v>0.325839</v>
      </c>
      <c r="M4" t="str">
        <v>48.6029</v>
      </c>
      <c r="N4" t="str">
        <v>1.68666</v>
      </c>
      <c r="O4" t="str">
        <v>0</v>
      </c>
      <c r="P4" t="str">
        <v>48.6029</v>
      </c>
    </row>
    <row r="5" spans="1:16" x14ac:dyDescent="0.35">
      <c r="A5" t="s">
        <v>772</v>
      </c>
      <c r="J5" t="str" cm="1">
        <f t="array" ref="J5:P5">_xlfn.TEXTSPLIT(A5,",")</f>
        <v>30</v>
      </c>
      <c r="K5" t="str">
        <v>1.78185</v>
      </c>
      <c r="L5" t="str">
        <v>0.35276</v>
      </c>
      <c r="M5" t="str">
        <v>46.5115</v>
      </c>
      <c r="N5" t="str">
        <v>1.673</v>
      </c>
      <c r="O5" t="str">
        <v>0</v>
      </c>
      <c r="P5" t="str">
        <v>46.5115</v>
      </c>
    </row>
    <row r="6" spans="1:16" x14ac:dyDescent="0.35">
      <c r="A6" t="s">
        <v>773</v>
      </c>
      <c r="J6" t="str" cm="1">
        <f t="array" ref="J6:P6">_xlfn.TEXTSPLIT(A6,",")</f>
        <v>40</v>
      </c>
      <c r="K6" t="str">
        <v>2.97969</v>
      </c>
      <c r="L6" t="str">
        <v>0.255366</v>
      </c>
      <c r="M6" t="str">
        <v>37.2264</v>
      </c>
      <c r="N6" t="str">
        <v>1.73013</v>
      </c>
      <c r="O6" t="str">
        <v>0</v>
      </c>
      <c r="P6" t="str">
        <v>37.2264</v>
      </c>
    </row>
    <row r="7" spans="1:16" x14ac:dyDescent="0.35">
      <c r="A7" t="s">
        <v>774</v>
      </c>
      <c r="J7" t="str" cm="1">
        <f t="array" ref="J7:P7">_xlfn.TEXTSPLIT(A7,",")</f>
        <v>50</v>
      </c>
      <c r="K7" t="str">
        <v>0.838187</v>
      </c>
      <c r="L7" t="str">
        <v>0.290209</v>
      </c>
      <c r="M7" t="str">
        <v>0.00277747</v>
      </c>
      <c r="N7" t="str">
        <v>1.84496</v>
      </c>
      <c r="O7" t="str">
        <v>0</v>
      </c>
      <c r="P7" t="str">
        <v>0.00277747</v>
      </c>
    </row>
    <row r="8" spans="1:16" x14ac:dyDescent="0.35">
      <c r="A8" t="s">
        <v>775</v>
      </c>
      <c r="J8" t="str" cm="1">
        <f t="array" ref="J8:P8">_xlfn.TEXTSPLIT(A8,",")</f>
        <v>80</v>
      </c>
      <c r="K8" t="str">
        <v>0.725698</v>
      </c>
      <c r="L8" t="str">
        <v>0.0626355</v>
      </c>
      <c r="M8" t="str">
        <v>0.00277747</v>
      </c>
      <c r="N8" t="str">
        <v>1.84496</v>
      </c>
      <c r="O8" t="str">
        <v>0</v>
      </c>
      <c r="P8" t="str">
        <v>0.00277747</v>
      </c>
    </row>
    <row r="9" spans="1:16" x14ac:dyDescent="0.35">
      <c r="A9" t="s">
        <v>776</v>
      </c>
      <c r="J9" t="str" cm="1">
        <f t="array" ref="J9:P9">_xlfn.TEXTSPLIT(A9,",")</f>
        <v>100</v>
      </c>
      <c r="K9" t="str">
        <v>0.000502</v>
      </c>
      <c r="L9" t="str">
        <v>0</v>
      </c>
      <c r="M9" t="str">
        <v>99.9889</v>
      </c>
      <c r="N9" t="str">
        <v>13441.7</v>
      </c>
      <c r="O9" t="str">
        <v>0</v>
      </c>
      <c r="P9" t="str">
        <v>99.9889</v>
      </c>
    </row>
    <row r="10" spans="1:16" x14ac:dyDescent="0.35">
      <c r="A10" t="s">
        <v>777</v>
      </c>
      <c r="J10" t="str" cm="1">
        <f t="array" ref="J10:P10">_xlfn.TEXTSPLIT(A10,",")</f>
        <v>120</v>
      </c>
      <c r="K10" t="str">
        <v>43.0773</v>
      </c>
      <c r="L10" t="str">
        <v>0.5813</v>
      </c>
      <c r="M10" t="str">
        <v>64.3179</v>
      </c>
      <c r="N10" t="str">
        <v>1.53881</v>
      </c>
      <c r="O10" t="str">
        <v>0</v>
      </c>
      <c r="P10" t="str">
        <v>64.3179</v>
      </c>
    </row>
    <row r="11" spans="1:16" x14ac:dyDescent="0.35">
      <c r="A11" t="s">
        <v>778</v>
      </c>
      <c r="J11" t="str" cm="1">
        <f t="array" ref="J11:P11">_xlfn.TEXTSPLIT(A11,",")</f>
        <v>140</v>
      </c>
      <c r="K11" t="str">
        <v>0.000502</v>
      </c>
      <c r="L11" t="str">
        <v>0</v>
      </c>
      <c r="M11" t="str">
        <v>99.9889</v>
      </c>
      <c r="N11" t="str">
        <v>13441.7</v>
      </c>
      <c r="O11" t="str">
        <v>0</v>
      </c>
      <c r="P11" t="str">
        <v>99.9889</v>
      </c>
    </row>
    <row r="12" spans="1:16" x14ac:dyDescent="0.35">
      <c r="A12" t="s">
        <v>779</v>
      </c>
      <c r="J12" t="str" cm="1">
        <f t="array" ref="J12:P12">_xlfn.TEXTSPLIT(A12,",")</f>
        <v>160</v>
      </c>
      <c r="K12" t="str">
        <v>0.000502</v>
      </c>
      <c r="L12" t="str">
        <v>0</v>
      </c>
      <c r="M12" t="str">
        <v>99.9889</v>
      </c>
      <c r="N12" t="str">
        <v>13441.7</v>
      </c>
      <c r="O12" t="str">
        <v>0</v>
      </c>
      <c r="P12" t="str">
        <v>99.9889</v>
      </c>
    </row>
    <row r="13" spans="1:16" x14ac:dyDescent="0.35">
      <c r="A13" t="s">
        <v>780</v>
      </c>
      <c r="J13" t="str" cm="1">
        <f t="array" ref="J13:P13">_xlfn.TEXTSPLIT(A13,",")</f>
        <v>180</v>
      </c>
      <c r="K13" t="str">
        <v>0.000502</v>
      </c>
      <c r="L13" t="str">
        <v>0</v>
      </c>
      <c r="M13" t="str">
        <v>99.9889</v>
      </c>
      <c r="N13" t="str">
        <v>13441.7</v>
      </c>
      <c r="O13" t="str">
        <v>0</v>
      </c>
      <c r="P13" t="str">
        <v>99.9889</v>
      </c>
    </row>
    <row r="14" spans="1:16" x14ac:dyDescent="0.35">
      <c r="A14" t="s">
        <v>781</v>
      </c>
      <c r="J14" t="str" cm="1">
        <f t="array" ref="J14:P14">_xlfn.TEXTSPLIT(A14,",")</f>
        <v>200</v>
      </c>
      <c r="K14" t="str">
        <v>0.000502</v>
      </c>
      <c r="L14" t="str">
        <v>0</v>
      </c>
      <c r="M14" t="str">
        <v>99.9889</v>
      </c>
      <c r="N14" t="str">
        <v>13441.7</v>
      </c>
      <c r="O14" t="str">
        <v>0</v>
      </c>
      <c r="P14" t="str">
        <v>99.9889</v>
      </c>
    </row>
    <row r="16" spans="1:16" x14ac:dyDescent="0.35">
      <c r="A16" t="s">
        <v>0</v>
      </c>
      <c r="J16" t="str" cm="1">
        <f t="array" ref="J16:P16">_xlfn.TEXTSPLIT(A16,",")</f>
        <v>Altitude(m)</v>
      </c>
      <c r="K16" t="str">
        <v>AvgDelay(ms)</v>
      </c>
      <c r="L16" t="str">
        <v>Jitter(ms)</v>
      </c>
      <c r="M16" t="str">
        <v>PacketLoss(%)</v>
      </c>
      <c r="N16" t="str">
        <v>Throughput(Mbps)</v>
      </c>
      <c r="O16" t="str">
        <v>AvgSINR(dB)</v>
      </c>
      <c r="P16" t="str">
        <v>BLER(%)</v>
      </c>
    </row>
    <row r="17" spans="1:16" x14ac:dyDescent="0.35">
      <c r="A17" t="s">
        <v>782</v>
      </c>
      <c r="J17" t="str" cm="1">
        <f t="array" ref="J17:P17">_xlfn.TEXTSPLIT(A17,",")</f>
        <v>1.5</v>
      </c>
      <c r="K17" t="str">
        <v>0.746168</v>
      </c>
      <c r="L17" t="str">
        <v>0.10488</v>
      </c>
      <c r="M17" t="str">
        <v>0.00277747</v>
      </c>
      <c r="N17" t="str">
        <v>1.84496</v>
      </c>
      <c r="O17" t="str">
        <v>0</v>
      </c>
      <c r="P17" t="str">
        <v>0.00277747</v>
      </c>
    </row>
    <row r="18" spans="1:16" x14ac:dyDescent="0.35">
      <c r="A18" t="s">
        <v>783</v>
      </c>
      <c r="J18" t="str" cm="1">
        <f t="array" ref="J18:P18">_xlfn.TEXTSPLIT(A18,",")</f>
        <v>10</v>
      </c>
      <c r="K18" t="str">
        <v>0.804087</v>
      </c>
      <c r="L18" t="str">
        <v>0.221789</v>
      </c>
      <c r="M18" t="str">
        <v>0.00277747</v>
      </c>
      <c r="N18" t="str">
        <v>1.84495</v>
      </c>
      <c r="O18" t="str">
        <v>0</v>
      </c>
      <c r="P18" t="str">
        <v>0.00277747</v>
      </c>
    </row>
    <row r="19" spans="1:16" x14ac:dyDescent="0.35">
      <c r="A19" t="s">
        <v>784</v>
      </c>
      <c r="J19" t="str" cm="1">
        <f t="array" ref="J19:P19">_xlfn.TEXTSPLIT(A19,",")</f>
        <v>20</v>
      </c>
      <c r="K19" t="str">
        <v>15.7463</v>
      </c>
      <c r="L19" t="str">
        <v>0.474023</v>
      </c>
      <c r="M19" t="str">
        <v>82.4686</v>
      </c>
      <c r="N19" t="str">
        <v>1.25685</v>
      </c>
      <c r="O19" t="str">
        <v>0</v>
      </c>
      <c r="P19" t="str">
        <v>82.4686</v>
      </c>
    </row>
    <row r="20" spans="1:16" x14ac:dyDescent="0.35">
      <c r="A20" t="s">
        <v>785</v>
      </c>
      <c r="J20" t="str" cm="1">
        <f t="array" ref="J20:P20">_xlfn.TEXTSPLIT(A20,",")</f>
        <v>30</v>
      </c>
      <c r="K20" t="str">
        <v>4.88653</v>
      </c>
      <c r="L20" t="str">
        <v>0.391709</v>
      </c>
      <c r="M20" t="str">
        <v>56.2271</v>
      </c>
      <c r="N20" t="str">
        <v>1.61578</v>
      </c>
      <c r="O20" t="str">
        <v>0</v>
      </c>
      <c r="P20" t="str">
        <v>56.2271</v>
      </c>
    </row>
    <row r="21" spans="1:16" x14ac:dyDescent="0.35">
      <c r="A21" t="s">
        <v>786</v>
      </c>
      <c r="J21" t="str" cm="1">
        <f t="array" ref="J21:P21">_xlfn.TEXTSPLIT(A21,",")</f>
        <v>40</v>
      </c>
      <c r="K21" t="str">
        <v>2.95848</v>
      </c>
      <c r="L21" t="str">
        <v>0.250786</v>
      </c>
      <c r="M21" t="str">
        <v>49.0779</v>
      </c>
      <c r="N21" t="str">
        <v>1.68342</v>
      </c>
      <c r="O21" t="str">
        <v>0</v>
      </c>
      <c r="P21" t="str">
        <v>49.0779</v>
      </c>
    </row>
    <row r="22" spans="1:16" x14ac:dyDescent="0.35">
      <c r="A22" t="s">
        <v>787</v>
      </c>
      <c r="J22" t="str" cm="1">
        <f t="array" ref="J22:P22">_xlfn.TEXTSPLIT(A22,",")</f>
        <v>50</v>
      </c>
      <c r="K22" t="str">
        <v>0.80977</v>
      </c>
      <c r="L22" t="str">
        <v>0.233684</v>
      </c>
      <c r="M22" t="str">
        <v>0.00277747</v>
      </c>
      <c r="N22" t="str">
        <v>1.84496</v>
      </c>
      <c r="O22" t="str">
        <v>0</v>
      </c>
      <c r="P22" t="str">
        <v>0.00277747</v>
      </c>
    </row>
    <row r="23" spans="1:16" x14ac:dyDescent="0.35">
      <c r="A23" t="s">
        <v>788</v>
      </c>
      <c r="J23" t="str" cm="1">
        <f t="array" ref="J23:P23">_xlfn.TEXTSPLIT(A23,",")</f>
        <v>80</v>
      </c>
      <c r="K23" t="str">
        <v>0.727442</v>
      </c>
      <c r="L23" t="str">
        <v>0.0651564</v>
      </c>
      <c r="M23" t="str">
        <v>0.00277747</v>
      </c>
      <c r="N23" t="str">
        <v>1.84496</v>
      </c>
      <c r="O23" t="str">
        <v>0</v>
      </c>
      <c r="P23" t="str">
        <v>0.00277747</v>
      </c>
    </row>
    <row r="24" spans="1:16" x14ac:dyDescent="0.35">
      <c r="A24" t="s">
        <v>776</v>
      </c>
      <c r="J24" t="str" cm="1">
        <f t="array" ref="J24:P24">_xlfn.TEXTSPLIT(A24,",")</f>
        <v>100</v>
      </c>
      <c r="K24" t="str">
        <v>0.000502</v>
      </c>
      <c r="L24" t="str">
        <v>0</v>
      </c>
      <c r="M24" t="str">
        <v>99.9889</v>
      </c>
      <c r="N24" t="str">
        <v>13441.7</v>
      </c>
      <c r="O24" t="str">
        <v>0</v>
      </c>
      <c r="P24" t="str">
        <v>99.9889</v>
      </c>
    </row>
    <row r="25" spans="1:16" x14ac:dyDescent="0.35">
      <c r="A25" t="s">
        <v>789</v>
      </c>
      <c r="J25" t="str" cm="1">
        <f t="array" ref="J25:P25">_xlfn.TEXTSPLIT(A25,",")</f>
        <v>120</v>
      </c>
      <c r="K25" t="str">
        <v>50.8199</v>
      </c>
      <c r="L25" t="str">
        <v>0.63166</v>
      </c>
      <c r="M25" t="str">
        <v>72.8947</v>
      </c>
      <c r="N25" t="str">
        <v>1.4196</v>
      </c>
      <c r="O25" t="str">
        <v>0</v>
      </c>
      <c r="P25" t="str">
        <v>72.8947</v>
      </c>
    </row>
    <row r="26" spans="1:16" x14ac:dyDescent="0.35">
      <c r="A26" t="s">
        <v>778</v>
      </c>
      <c r="J26" t="str" cm="1">
        <f t="array" ref="J26:P26">_xlfn.TEXTSPLIT(A26,",")</f>
        <v>140</v>
      </c>
      <c r="K26" t="str">
        <v>0.000502</v>
      </c>
      <c r="L26" t="str">
        <v>0</v>
      </c>
      <c r="M26" t="str">
        <v>99.9889</v>
      </c>
      <c r="N26" t="str">
        <v>13441.7</v>
      </c>
      <c r="O26" t="str">
        <v>0</v>
      </c>
      <c r="P26" t="str">
        <v>99.9889</v>
      </c>
    </row>
    <row r="27" spans="1:16" x14ac:dyDescent="0.35">
      <c r="A27" t="s">
        <v>779</v>
      </c>
      <c r="J27" t="str" cm="1">
        <f t="array" ref="J27:P27">_xlfn.TEXTSPLIT(A27,",")</f>
        <v>160</v>
      </c>
      <c r="K27" t="str">
        <v>0.000502</v>
      </c>
      <c r="L27" t="str">
        <v>0</v>
      </c>
      <c r="M27" t="str">
        <v>99.9889</v>
      </c>
      <c r="N27" t="str">
        <v>13441.7</v>
      </c>
      <c r="O27" t="str">
        <v>0</v>
      </c>
      <c r="P27" t="str">
        <v>99.9889</v>
      </c>
    </row>
    <row r="28" spans="1:16" x14ac:dyDescent="0.35">
      <c r="A28" t="s">
        <v>780</v>
      </c>
      <c r="J28" t="str" cm="1">
        <f t="array" ref="J28:P28">_xlfn.TEXTSPLIT(A28,",")</f>
        <v>180</v>
      </c>
      <c r="K28" t="str">
        <v>0.000502</v>
      </c>
      <c r="L28" t="str">
        <v>0</v>
      </c>
      <c r="M28" t="str">
        <v>99.9889</v>
      </c>
      <c r="N28" t="str">
        <v>13441.7</v>
      </c>
      <c r="O28" t="str">
        <v>0</v>
      </c>
      <c r="P28" t="str">
        <v>99.9889</v>
      </c>
    </row>
    <row r="29" spans="1:16" x14ac:dyDescent="0.35">
      <c r="A29" t="s">
        <v>781</v>
      </c>
      <c r="J29" t="str" cm="1">
        <f t="array" ref="J29:P29">_xlfn.TEXTSPLIT(A29,",")</f>
        <v>200</v>
      </c>
      <c r="K29" t="str">
        <v>0.000502</v>
      </c>
      <c r="L29" t="str">
        <v>0</v>
      </c>
      <c r="M29" t="str">
        <v>99.9889</v>
      </c>
      <c r="N29" t="str">
        <v>13441.7</v>
      </c>
      <c r="O29" t="str">
        <v>0</v>
      </c>
      <c r="P29" t="str">
        <v>99.9889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884D-B4E7-4EE4-810F-D7D4D45A76BA}">
  <dimension ref="A1:T25"/>
  <sheetViews>
    <sheetView topLeftCell="A4" workbookViewId="0">
      <selection activeCell="K20" sqref="K20"/>
    </sheetView>
  </sheetViews>
  <sheetFormatPr defaultRowHeight="14.5" x14ac:dyDescent="0.35"/>
  <sheetData>
    <row r="1" spans="1:20" x14ac:dyDescent="0.35">
      <c r="A1" t="s">
        <v>744</v>
      </c>
      <c r="M1" t="str" cm="1">
        <f t="array" ref="M1:T1">_xlfn.TEXTSPLIT(A1, ",")</f>
        <v>TxPowerGnb(dBm)</v>
      </c>
      <c r="N1" t="str">
        <v>TxPowerUe(dBm)</v>
      </c>
      <c r="O1" t="str">
        <v>AvgDelay(ms)</v>
      </c>
      <c r="P1" t="str">
        <v>Jitter(ms)</v>
      </c>
      <c r="Q1" t="str">
        <v>PacketLoss(%)</v>
      </c>
      <c r="R1" t="str">
        <v>Throughput(Mbps)</v>
      </c>
      <c r="S1" t="str">
        <v>AvgSINR(dB)</v>
      </c>
      <c r="T1" t="str">
        <v>BLER(%)</v>
      </c>
    </row>
    <row r="2" spans="1:20" x14ac:dyDescent="0.35">
      <c r="A2" t="s">
        <v>745</v>
      </c>
      <c r="M2" t="str" cm="1">
        <f t="array" ref="M2:T2">_xlfn.TEXTSPLIT(A2, ",")</f>
        <v>30</v>
      </c>
      <c r="N2" t="str">
        <v>20</v>
      </c>
      <c r="O2" t="str">
        <v>8.59828</v>
      </c>
      <c r="P2" t="str">
        <v>0.227143</v>
      </c>
      <c r="Q2" t="str">
        <v>13.8603</v>
      </c>
      <c r="R2" t="str">
        <v>8.74293</v>
      </c>
      <c r="S2" t="str">
        <v>0</v>
      </c>
      <c r="T2" t="str">
        <v>13.8603</v>
      </c>
    </row>
    <row r="3" spans="1:20" x14ac:dyDescent="0.35">
      <c r="A3" t="s">
        <v>746</v>
      </c>
      <c r="M3" t="str" cm="1">
        <f t="array" ref="M3:T3">_xlfn.TEXTSPLIT(A3, ",")</f>
        <v>30</v>
      </c>
      <c r="N3" t="str">
        <v>22</v>
      </c>
      <c r="O3" t="str">
        <v>8.59815</v>
      </c>
      <c r="P3" t="str">
        <v>0.22714</v>
      </c>
      <c r="Q3" t="str">
        <v>13.8603</v>
      </c>
      <c r="R3" t="str">
        <v>8.74315</v>
      </c>
      <c r="S3" t="str">
        <v>0</v>
      </c>
      <c r="T3" t="str">
        <v>13.8603</v>
      </c>
    </row>
    <row r="4" spans="1:20" x14ac:dyDescent="0.35">
      <c r="A4" t="s">
        <v>747</v>
      </c>
      <c r="M4" t="str" cm="1">
        <f t="array" ref="M4:T4">_xlfn.TEXTSPLIT(A4, ",")</f>
        <v>30</v>
      </c>
      <c r="N4" t="str">
        <v>24</v>
      </c>
      <c r="O4" t="str">
        <v>24.6587</v>
      </c>
      <c r="P4" t="str">
        <v>0.251276</v>
      </c>
      <c r="Q4" t="str">
        <v>49.5243</v>
      </c>
      <c r="R4" t="str">
        <v>7.72309</v>
      </c>
      <c r="S4" t="str">
        <v>0</v>
      </c>
      <c r="T4" t="str">
        <v>49.5243</v>
      </c>
    </row>
    <row r="5" spans="1:20" x14ac:dyDescent="0.35">
      <c r="A5" t="s">
        <v>748</v>
      </c>
      <c r="M5" t="str" cm="1">
        <f t="array" ref="M5:T5">_xlfn.TEXTSPLIT(A5, ",")</f>
        <v>30</v>
      </c>
      <c r="N5" t="str">
        <v>26</v>
      </c>
      <c r="O5" t="str">
        <v>10.8546</v>
      </c>
      <c r="P5" t="str">
        <v>0.232017</v>
      </c>
      <c r="Q5" t="str">
        <v>15.83</v>
      </c>
      <c r="R5" t="str">
        <v>8.54323</v>
      </c>
      <c r="S5" t="str">
        <v>0</v>
      </c>
      <c r="T5" t="str">
        <v>15.83</v>
      </c>
    </row>
    <row r="6" spans="1:20" x14ac:dyDescent="0.35">
      <c r="A6" t="s">
        <v>749</v>
      </c>
      <c r="M6" t="str" cm="1">
        <f t="array" ref="M6:T6">_xlfn.TEXTSPLIT(A6, ",")</f>
        <v>32</v>
      </c>
      <c r="N6" t="str">
        <v>20</v>
      </c>
      <c r="O6" t="str">
        <v>60.8456</v>
      </c>
      <c r="P6" t="str">
        <v>0.232343</v>
      </c>
      <c r="Q6" t="str">
        <v>18.1537</v>
      </c>
      <c r="R6" t="str">
        <v>8.30696</v>
      </c>
      <c r="S6" t="str">
        <v>0</v>
      </c>
      <c r="T6" t="str">
        <v>18.1537</v>
      </c>
    </row>
    <row r="7" spans="1:20" x14ac:dyDescent="0.35">
      <c r="A7" t="s">
        <v>750</v>
      </c>
      <c r="M7" t="str" cm="1">
        <f t="array" ref="M7:T7">_xlfn.TEXTSPLIT(A7, ",")</f>
        <v>32</v>
      </c>
      <c r="N7" t="str">
        <v>22</v>
      </c>
      <c r="O7" t="str">
        <v>8.59815</v>
      </c>
      <c r="P7" t="str">
        <v>0.22714</v>
      </c>
      <c r="Q7" t="str">
        <v>13.8603</v>
      </c>
      <c r="R7" t="str">
        <v>8.74315</v>
      </c>
      <c r="S7" t="str">
        <v>0</v>
      </c>
      <c r="T7" t="str">
        <v>13.8603</v>
      </c>
    </row>
    <row r="8" spans="1:20" x14ac:dyDescent="0.35">
      <c r="A8" t="s">
        <v>751</v>
      </c>
      <c r="M8" t="str" cm="1">
        <f t="array" ref="M8:T8">_xlfn.TEXTSPLIT(A8, ",")</f>
        <v>32</v>
      </c>
      <c r="N8" t="str">
        <v>24</v>
      </c>
      <c r="O8" t="str">
        <v>8.59815</v>
      </c>
      <c r="P8" t="str">
        <v>0.22714</v>
      </c>
      <c r="Q8" t="str">
        <v>13.8603</v>
      </c>
      <c r="R8" t="str">
        <v>8.74315</v>
      </c>
      <c r="S8" t="str">
        <v>0</v>
      </c>
      <c r="T8" t="str">
        <v>13.8603</v>
      </c>
    </row>
    <row r="9" spans="1:20" x14ac:dyDescent="0.35">
      <c r="A9" t="s">
        <v>752</v>
      </c>
      <c r="M9" t="str" cm="1">
        <f t="array" ref="M9:T9">_xlfn.TEXTSPLIT(A9, ",")</f>
        <v>32</v>
      </c>
      <c r="N9" t="str">
        <v>26</v>
      </c>
      <c r="O9" t="str">
        <v>33.9238</v>
      </c>
      <c r="P9" t="str">
        <v>0.255286</v>
      </c>
      <c r="Q9" t="str">
        <v>37.6427</v>
      </c>
      <c r="R9" t="str">
        <v>7.62702</v>
      </c>
      <c r="S9" t="str">
        <v>0</v>
      </c>
      <c r="T9" t="str">
        <v>37.6427</v>
      </c>
    </row>
    <row r="10" spans="1:20" x14ac:dyDescent="0.35">
      <c r="A10" t="s">
        <v>753</v>
      </c>
      <c r="M10" t="str" cm="1">
        <f t="array" ref="M10:T10">_xlfn.TEXTSPLIT(A10, ",")</f>
        <v>34</v>
      </c>
      <c r="N10" t="str">
        <v>20</v>
      </c>
      <c r="O10" t="str">
        <v>8.59815</v>
      </c>
      <c r="P10" t="str">
        <v>0.22714</v>
      </c>
      <c r="Q10" t="str">
        <v>13.8603</v>
      </c>
      <c r="R10" t="str">
        <v>8.74315</v>
      </c>
      <c r="S10" t="str">
        <v>0</v>
      </c>
      <c r="T10" t="str">
        <v>13.8603</v>
      </c>
    </row>
    <row r="11" spans="1:20" x14ac:dyDescent="0.35">
      <c r="A11" t="s">
        <v>754</v>
      </c>
      <c r="M11" t="str" cm="1">
        <f t="array" ref="M11:T11">_xlfn.TEXTSPLIT(A11, ",")</f>
        <v>34</v>
      </c>
      <c r="N11" t="str">
        <v>22</v>
      </c>
      <c r="O11" t="str">
        <v>37.9977</v>
      </c>
      <c r="P11" t="str">
        <v>0.240897</v>
      </c>
      <c r="Q11" t="str">
        <v>20.4733</v>
      </c>
      <c r="R11" t="str">
        <v>8.09829</v>
      </c>
      <c r="S11" t="str">
        <v>0</v>
      </c>
      <c r="T11" t="str">
        <v>20.4733</v>
      </c>
    </row>
    <row r="12" spans="1:20" x14ac:dyDescent="0.35">
      <c r="A12" t="s">
        <v>755</v>
      </c>
      <c r="M12" t="str" cm="1">
        <f t="array" ref="M12:T12">_xlfn.TEXTSPLIT(A12, ",")</f>
        <v>34</v>
      </c>
      <c r="N12" t="str">
        <v>24</v>
      </c>
      <c r="O12" t="str">
        <v>8.59815</v>
      </c>
      <c r="P12" t="str">
        <v>0.22714</v>
      </c>
      <c r="Q12" t="str">
        <v>13.8603</v>
      </c>
      <c r="R12" t="str">
        <v>8.74315</v>
      </c>
      <c r="S12" t="str">
        <v>0</v>
      </c>
      <c r="T12" t="str">
        <v>13.8603</v>
      </c>
    </row>
    <row r="13" spans="1:20" x14ac:dyDescent="0.35">
      <c r="A13" t="s">
        <v>756</v>
      </c>
      <c r="M13" t="str" cm="1">
        <f t="array" ref="M13:T13">_xlfn.TEXTSPLIT(A13, ",")</f>
        <v>34</v>
      </c>
      <c r="N13" t="str">
        <v>26</v>
      </c>
      <c r="O13" t="str">
        <v>8.59815</v>
      </c>
      <c r="P13" t="str">
        <v>0.22714</v>
      </c>
      <c r="Q13" t="str">
        <v>13.8603</v>
      </c>
      <c r="R13" t="str">
        <v>8.74315</v>
      </c>
      <c r="S13" t="str">
        <v>0</v>
      </c>
      <c r="T13" t="str">
        <v>13.8603</v>
      </c>
    </row>
    <row r="14" spans="1:20" x14ac:dyDescent="0.35">
      <c r="A14" t="s">
        <v>757</v>
      </c>
      <c r="M14" t="str" cm="1">
        <f t="array" ref="M14:T14">_xlfn.TEXTSPLIT(A14, ",")</f>
        <v>36</v>
      </c>
      <c r="N14" t="str">
        <v>20</v>
      </c>
      <c r="O14" t="str">
        <v>8.59815</v>
      </c>
      <c r="P14" t="str">
        <v>0.22714</v>
      </c>
      <c r="Q14" t="str">
        <v>13.8603</v>
      </c>
      <c r="R14" t="str">
        <v>8.74315</v>
      </c>
      <c r="S14" t="str">
        <v>0</v>
      </c>
      <c r="T14" t="str">
        <v>13.8603</v>
      </c>
    </row>
    <row r="15" spans="1:20" x14ac:dyDescent="0.35">
      <c r="A15" t="s">
        <v>758</v>
      </c>
      <c r="M15" t="str" cm="1">
        <f t="array" ref="M15:T15">_xlfn.TEXTSPLIT(A15, ",")</f>
        <v>36</v>
      </c>
      <c r="N15" t="str">
        <v>22</v>
      </c>
      <c r="O15" t="str">
        <v>8.59815</v>
      </c>
      <c r="P15" t="str">
        <v>0.22714</v>
      </c>
      <c r="Q15" t="str">
        <v>13.8603</v>
      </c>
      <c r="R15" t="str">
        <v>8.74315</v>
      </c>
      <c r="S15" t="str">
        <v>0</v>
      </c>
      <c r="T15" t="str">
        <v>13.8603</v>
      </c>
    </row>
    <row r="16" spans="1:20" x14ac:dyDescent="0.35">
      <c r="A16" t="s">
        <v>759</v>
      </c>
      <c r="M16" t="str" cm="1">
        <f t="array" ref="M16:T16">_xlfn.TEXTSPLIT(A16, ",")</f>
        <v>36</v>
      </c>
      <c r="N16" t="str">
        <v>24</v>
      </c>
      <c r="O16" t="str">
        <v>8.59815</v>
      </c>
      <c r="P16" t="str">
        <v>0.22714</v>
      </c>
      <c r="Q16" t="str">
        <v>13.8603</v>
      </c>
      <c r="R16" t="str">
        <v>8.74315</v>
      </c>
      <c r="S16" t="str">
        <v>0</v>
      </c>
      <c r="T16" t="str">
        <v>13.8603</v>
      </c>
    </row>
    <row r="17" spans="1:20" x14ac:dyDescent="0.35">
      <c r="A17" t="s">
        <v>760</v>
      </c>
      <c r="M17" t="str" cm="1">
        <f t="array" ref="M17:T17">_xlfn.TEXTSPLIT(A17, ",")</f>
        <v>36</v>
      </c>
      <c r="N17" t="str">
        <v>26</v>
      </c>
      <c r="O17" t="str">
        <v>8.59815</v>
      </c>
      <c r="P17" t="str">
        <v>0.22714</v>
      </c>
      <c r="Q17" t="str">
        <v>13.8603</v>
      </c>
      <c r="R17" t="str">
        <v>8.74315</v>
      </c>
      <c r="S17" t="str">
        <v>0</v>
      </c>
      <c r="T17" t="str">
        <v>13.8603</v>
      </c>
    </row>
    <row r="18" spans="1:20" x14ac:dyDescent="0.35">
      <c r="A18" t="s">
        <v>761</v>
      </c>
      <c r="M18" t="str" cm="1">
        <f t="array" ref="M18:T18">_xlfn.TEXTSPLIT(A18, ",")</f>
        <v>38</v>
      </c>
      <c r="N18" t="str">
        <v>20</v>
      </c>
      <c r="O18" t="str">
        <v>8.59815</v>
      </c>
      <c r="P18" t="str">
        <v>0.22714</v>
      </c>
      <c r="Q18" t="str">
        <v>13.8603</v>
      </c>
      <c r="R18" t="str">
        <v>8.74315</v>
      </c>
      <c r="S18" t="str">
        <v>0</v>
      </c>
      <c r="T18" t="str">
        <v>13.8603</v>
      </c>
    </row>
    <row r="19" spans="1:20" x14ac:dyDescent="0.35">
      <c r="A19" t="s">
        <v>762</v>
      </c>
      <c r="M19" t="str" cm="1">
        <f t="array" ref="M19:T19">_xlfn.TEXTSPLIT(A19, ",")</f>
        <v>38</v>
      </c>
      <c r="N19" t="str">
        <v>22</v>
      </c>
      <c r="O19" t="str">
        <v>22.2396</v>
      </c>
      <c r="P19" t="str">
        <v>0.245794</v>
      </c>
      <c r="Q19" t="str">
        <v>35.5503</v>
      </c>
      <c r="R19" t="str">
        <v>7.96753</v>
      </c>
      <c r="S19" t="str">
        <v>0</v>
      </c>
      <c r="T19" t="str">
        <v>35.5503</v>
      </c>
    </row>
    <row r="20" spans="1:20" x14ac:dyDescent="0.35">
      <c r="A20" t="s">
        <v>763</v>
      </c>
      <c r="M20" t="str" cm="1">
        <f t="array" ref="M20:T20">_xlfn.TEXTSPLIT(A20, ",")</f>
        <v>38</v>
      </c>
      <c r="N20" t="str">
        <v>24</v>
      </c>
      <c r="O20" t="str">
        <v>8.59815</v>
      </c>
      <c r="P20" t="str">
        <v>0.22714</v>
      </c>
      <c r="Q20" t="str">
        <v>13.8603</v>
      </c>
      <c r="R20" t="str">
        <v>8.74315</v>
      </c>
      <c r="S20" t="str">
        <v>0</v>
      </c>
      <c r="T20" t="str">
        <v>13.8603</v>
      </c>
    </row>
    <row r="21" spans="1:20" x14ac:dyDescent="0.35">
      <c r="A21" t="s">
        <v>764</v>
      </c>
      <c r="M21" t="str" cm="1">
        <f t="array" ref="M21:T21">_xlfn.TEXTSPLIT(A21, ",")</f>
        <v>38</v>
      </c>
      <c r="N21" t="str">
        <v>26</v>
      </c>
      <c r="O21" t="str">
        <v>8.59815</v>
      </c>
      <c r="P21" t="str">
        <v>0.22714</v>
      </c>
      <c r="Q21" t="str">
        <v>13.8603</v>
      </c>
      <c r="R21" t="str">
        <v>8.74315</v>
      </c>
      <c r="S21" t="str">
        <v>0</v>
      </c>
      <c r="T21" t="str">
        <v>13.8603</v>
      </c>
    </row>
    <row r="22" spans="1:20" x14ac:dyDescent="0.35">
      <c r="A22" t="s">
        <v>765</v>
      </c>
      <c r="M22" t="str" cm="1">
        <f t="array" ref="M22:T22">_xlfn.TEXTSPLIT(A22, ",")</f>
        <v>40</v>
      </c>
      <c r="N22" t="str">
        <v>20</v>
      </c>
      <c r="O22" t="str">
        <v>8.59815</v>
      </c>
      <c r="P22" t="str">
        <v>0.22714</v>
      </c>
      <c r="Q22" t="str">
        <v>13.8603</v>
      </c>
      <c r="R22" t="str">
        <v>8.74315</v>
      </c>
      <c r="S22" t="str">
        <v>0</v>
      </c>
      <c r="T22" t="str">
        <v>13.8603</v>
      </c>
    </row>
    <row r="23" spans="1:20" x14ac:dyDescent="0.35">
      <c r="A23" t="s">
        <v>766</v>
      </c>
      <c r="M23" t="str" cm="1">
        <f t="array" ref="M23:T23">_xlfn.TEXTSPLIT(A23, ",")</f>
        <v>40</v>
      </c>
      <c r="N23" t="str">
        <v>22</v>
      </c>
      <c r="O23" t="str">
        <v>24.9047</v>
      </c>
      <c r="P23" t="str">
        <v>0.242456</v>
      </c>
      <c r="Q23" t="str">
        <v>20.544</v>
      </c>
      <c r="R23" t="str">
        <v>8.06456</v>
      </c>
      <c r="S23" t="str">
        <v>0</v>
      </c>
      <c r="T23" t="str">
        <v>20.544</v>
      </c>
    </row>
    <row r="24" spans="1:20" x14ac:dyDescent="0.35">
      <c r="A24" t="s">
        <v>767</v>
      </c>
      <c r="M24" t="str" cm="1">
        <f t="array" ref="M24:T24">_xlfn.TEXTSPLIT(A24, ",")</f>
        <v>40</v>
      </c>
      <c r="N24" t="str">
        <v>24</v>
      </c>
      <c r="O24" t="str">
        <v>8.59793</v>
      </c>
      <c r="P24" t="str">
        <v>0.227135</v>
      </c>
      <c r="Q24" t="str">
        <v>13.8583</v>
      </c>
      <c r="R24" t="str">
        <v>8.74335</v>
      </c>
      <c r="S24" t="str">
        <v>0</v>
      </c>
      <c r="T24" t="str">
        <v>13.8583</v>
      </c>
    </row>
    <row r="25" spans="1:20" x14ac:dyDescent="0.35">
      <c r="A25" t="s">
        <v>768</v>
      </c>
      <c r="M25" t="str" cm="1">
        <f t="array" ref="M25:T25">_xlfn.TEXTSPLIT(A25, ",")</f>
        <v>40</v>
      </c>
      <c r="N25" t="str">
        <v>26</v>
      </c>
      <c r="O25" t="str">
        <v>8.59815</v>
      </c>
      <c r="P25" t="str">
        <v>0.22714</v>
      </c>
      <c r="Q25" t="str">
        <v>13.8603</v>
      </c>
      <c r="R25" t="str">
        <v>8.74315</v>
      </c>
      <c r="S25" t="str">
        <v>0</v>
      </c>
      <c r="T25" t="str">
        <v>13.8603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AE04-8F12-47AF-A3B4-102D549E6E39}">
  <dimension ref="A1:S25"/>
  <sheetViews>
    <sheetView topLeftCell="A13" workbookViewId="0">
      <selection activeCell="K25" sqref="K25"/>
    </sheetView>
  </sheetViews>
  <sheetFormatPr defaultRowHeight="14.5" x14ac:dyDescent="0.35"/>
  <sheetData>
    <row r="1" spans="1:19" x14ac:dyDescent="0.35">
      <c r="A1" t="s">
        <v>744</v>
      </c>
      <c r="L1" t="str" cm="1">
        <f t="array" ref="L1:S1">_xlfn.TEXTSPLIT(A1, ",")</f>
        <v>TxPowerGnb(dBm)</v>
      </c>
      <c r="M1" t="str">
        <v>TxPowerUe(dBm)</v>
      </c>
      <c r="N1" t="str">
        <v>AvgDelay(ms)</v>
      </c>
      <c r="O1" t="str">
        <v>Jitter(ms)</v>
      </c>
      <c r="P1" t="str">
        <v>PacketLoss(%)</v>
      </c>
      <c r="Q1" t="str">
        <v>Throughput(Mbps)</v>
      </c>
      <c r="R1" t="str">
        <v>AvgSINR(dB)</v>
      </c>
      <c r="S1" t="str">
        <v>BLER(%)</v>
      </c>
    </row>
    <row r="2" spans="1:19" x14ac:dyDescent="0.35">
      <c r="A2" t="s">
        <v>790</v>
      </c>
      <c r="L2" t="str" cm="1">
        <f t="array" ref="L2:S2">_xlfn.TEXTSPLIT(A2, ",")</f>
        <v>30</v>
      </c>
      <c r="M2" t="str">
        <v>20</v>
      </c>
      <c r="N2" t="str">
        <v>8.45335</v>
      </c>
      <c r="O2" t="str">
        <v>0.220885</v>
      </c>
      <c r="P2" t="str">
        <v>13.2836</v>
      </c>
      <c r="Q2" t="str">
        <v>8.80169</v>
      </c>
      <c r="R2" t="str">
        <v>0</v>
      </c>
      <c r="S2" t="str">
        <v>13.2836</v>
      </c>
    </row>
    <row r="3" spans="1:19" x14ac:dyDescent="0.35">
      <c r="A3" t="s">
        <v>791</v>
      </c>
      <c r="L3" t="str" cm="1">
        <f t="array" ref="L3:S3">_xlfn.TEXTSPLIT(A3, ",")</f>
        <v>30</v>
      </c>
      <c r="M3" t="str">
        <v>22</v>
      </c>
      <c r="N3" t="str">
        <v>20.4576</v>
      </c>
      <c r="O3" t="str">
        <v>0.274375</v>
      </c>
      <c r="P3" t="str">
        <v>98.0783</v>
      </c>
      <c r="Q3" t="str">
        <v>5.08317</v>
      </c>
      <c r="R3" t="str">
        <v>0</v>
      </c>
      <c r="S3" t="str">
        <v>98.0783</v>
      </c>
    </row>
    <row r="4" spans="1:19" x14ac:dyDescent="0.35">
      <c r="A4" t="s">
        <v>792</v>
      </c>
      <c r="L4" t="str" cm="1">
        <f t="array" ref="L4:S4">_xlfn.TEXTSPLIT(A4, ",")</f>
        <v>30</v>
      </c>
      <c r="M4" t="str">
        <v>24</v>
      </c>
      <c r="N4" t="str">
        <v>8.2684</v>
      </c>
      <c r="O4" t="str">
        <v>0.215888</v>
      </c>
      <c r="P4" t="str">
        <v>11.619</v>
      </c>
      <c r="Q4" t="str">
        <v>8.97064</v>
      </c>
      <c r="R4" t="str">
        <v>0</v>
      </c>
      <c r="S4" t="str">
        <v>11.619</v>
      </c>
    </row>
    <row r="5" spans="1:19" x14ac:dyDescent="0.35">
      <c r="A5" t="s">
        <v>793</v>
      </c>
      <c r="L5" t="str" cm="1">
        <f t="array" ref="L5:S5">_xlfn.TEXTSPLIT(A5, ",")</f>
        <v>30</v>
      </c>
      <c r="M5" t="str">
        <v>26</v>
      </c>
      <c r="N5" t="str">
        <v>12.2631</v>
      </c>
      <c r="O5" t="str">
        <v>0.248402</v>
      </c>
      <c r="P5" t="str">
        <v>93.0082</v>
      </c>
      <c r="Q5" t="str">
        <v>6.52827</v>
      </c>
      <c r="R5" t="str">
        <v>0</v>
      </c>
      <c r="S5" t="str">
        <v>93.0082</v>
      </c>
    </row>
    <row r="6" spans="1:19" x14ac:dyDescent="0.35">
      <c r="A6" t="s">
        <v>794</v>
      </c>
      <c r="L6" t="str" cm="1">
        <f t="array" ref="L6:S6">_xlfn.TEXTSPLIT(A6, ",")</f>
        <v>32</v>
      </c>
      <c r="M6" t="str">
        <v>20</v>
      </c>
      <c r="N6" t="str">
        <v>8.25678</v>
      </c>
      <c r="O6" t="str">
        <v>0.218538</v>
      </c>
      <c r="P6" t="str">
        <v>12.0371</v>
      </c>
      <c r="Q6" t="str">
        <v>8.9282</v>
      </c>
      <c r="R6" t="str">
        <v>0</v>
      </c>
      <c r="S6" t="str">
        <v>12.0371</v>
      </c>
    </row>
    <row r="7" spans="1:19" x14ac:dyDescent="0.35">
      <c r="A7" t="s">
        <v>795</v>
      </c>
      <c r="L7" t="str" cm="1">
        <f t="array" ref="L7:S7">_xlfn.TEXTSPLIT(A7, ",")</f>
        <v>32</v>
      </c>
      <c r="M7" t="str">
        <v>22</v>
      </c>
      <c r="N7" t="str">
        <v>8.12518</v>
      </c>
      <c r="O7" t="str">
        <v>0.21529</v>
      </c>
      <c r="P7" t="str">
        <v>10.4437</v>
      </c>
      <c r="Q7" t="str">
        <v>9.08993</v>
      </c>
      <c r="R7" t="str">
        <v>0</v>
      </c>
      <c r="S7" t="str">
        <v>10.4437</v>
      </c>
    </row>
    <row r="8" spans="1:19" x14ac:dyDescent="0.35">
      <c r="A8" t="s">
        <v>796</v>
      </c>
      <c r="L8" t="str" cm="1">
        <f t="array" ref="L8:S8">_xlfn.TEXTSPLIT(A8, ",")</f>
        <v>32</v>
      </c>
      <c r="M8" t="str">
        <v>24</v>
      </c>
      <c r="N8" t="str">
        <v>8.06921</v>
      </c>
      <c r="O8" t="str">
        <v>0.215256</v>
      </c>
      <c r="P8" t="str">
        <v>9.78011</v>
      </c>
      <c r="Q8" t="str">
        <v>9.15729</v>
      </c>
      <c r="R8" t="str">
        <v>0</v>
      </c>
      <c r="S8" t="str">
        <v>9.78011</v>
      </c>
    </row>
    <row r="9" spans="1:19" x14ac:dyDescent="0.35">
      <c r="A9" t="s">
        <v>797</v>
      </c>
      <c r="L9" t="str" cm="1">
        <f t="array" ref="L9:S9">_xlfn.TEXTSPLIT(A9, ",")</f>
        <v>32</v>
      </c>
      <c r="M9" t="str">
        <v>26</v>
      </c>
      <c r="N9" t="str">
        <v>7.94771</v>
      </c>
      <c r="O9" t="str">
        <v>0.212813</v>
      </c>
      <c r="P9" t="str">
        <v>8.53973</v>
      </c>
      <c r="Q9" t="str">
        <v>9.28318</v>
      </c>
      <c r="R9" t="str">
        <v>0</v>
      </c>
      <c r="S9" t="str">
        <v>8.53973</v>
      </c>
    </row>
    <row r="10" spans="1:19" x14ac:dyDescent="0.35">
      <c r="A10" t="s">
        <v>798</v>
      </c>
      <c r="L10" t="str" cm="1">
        <f t="array" ref="L10:S10">_xlfn.TEXTSPLIT(A10, ",")</f>
        <v>34</v>
      </c>
      <c r="M10" t="str">
        <v>20</v>
      </c>
      <c r="N10" t="str">
        <v>8.39292</v>
      </c>
      <c r="O10" t="str">
        <v>0.218443</v>
      </c>
      <c r="P10" t="str">
        <v>12.5886</v>
      </c>
      <c r="Q10" t="str">
        <v>8.87222</v>
      </c>
      <c r="R10" t="str">
        <v>0</v>
      </c>
      <c r="S10" t="str">
        <v>12.5886</v>
      </c>
    </row>
    <row r="11" spans="1:19" x14ac:dyDescent="0.35">
      <c r="A11" t="s">
        <v>799</v>
      </c>
      <c r="L11" t="str" cm="1">
        <f t="array" ref="L11:S11">_xlfn.TEXTSPLIT(A11, ",")</f>
        <v>34</v>
      </c>
      <c r="M11" t="str">
        <v>22</v>
      </c>
      <c r="N11" t="str">
        <v>0.000502</v>
      </c>
      <c r="O11" t="str">
        <v>0</v>
      </c>
      <c r="P11" t="str">
        <v>99.998</v>
      </c>
      <c r="Q11" t="str">
        <v>13441.7</v>
      </c>
      <c r="R11" t="str">
        <v>0</v>
      </c>
      <c r="S11" t="str">
        <v>99.998</v>
      </c>
    </row>
    <row r="12" spans="1:19" x14ac:dyDescent="0.35">
      <c r="A12" t="s">
        <v>800</v>
      </c>
      <c r="L12" t="str" cm="1">
        <f t="array" ref="L12:S12">_xlfn.TEXTSPLIT(A12, ",")</f>
        <v>34</v>
      </c>
      <c r="M12" t="str">
        <v>24</v>
      </c>
      <c r="N12" t="str">
        <v>8.09313</v>
      </c>
      <c r="O12" t="str">
        <v>0.215249</v>
      </c>
      <c r="P12" t="str">
        <v>9.94677</v>
      </c>
      <c r="Q12" t="str">
        <v>9.14037</v>
      </c>
      <c r="R12" t="str">
        <v>0</v>
      </c>
      <c r="S12" t="str">
        <v>9.94677</v>
      </c>
    </row>
    <row r="13" spans="1:19" x14ac:dyDescent="0.35">
      <c r="A13" t="s">
        <v>801</v>
      </c>
      <c r="L13" t="str" cm="1">
        <f t="array" ref="L13:S13">_xlfn.TEXTSPLIT(A13, ",")</f>
        <v>34</v>
      </c>
      <c r="M13" t="str">
        <v>26</v>
      </c>
      <c r="N13" t="str">
        <v>7.97875</v>
      </c>
      <c r="O13" t="str">
        <v>0.21314</v>
      </c>
      <c r="P13" t="str">
        <v>8.73568</v>
      </c>
      <c r="Q13" t="str">
        <v>9.2633</v>
      </c>
      <c r="R13" t="str">
        <v>0</v>
      </c>
      <c r="S13" t="str">
        <v>8.73568</v>
      </c>
    </row>
    <row r="14" spans="1:19" x14ac:dyDescent="0.35">
      <c r="A14" t="s">
        <v>802</v>
      </c>
      <c r="L14" t="str" cm="1">
        <f t="array" ref="L14:S14">_xlfn.TEXTSPLIT(A14, ",")</f>
        <v>36</v>
      </c>
      <c r="M14" t="str">
        <v>20</v>
      </c>
      <c r="N14" t="str">
        <v>8.23644</v>
      </c>
      <c r="O14" t="str">
        <v>0.217703</v>
      </c>
      <c r="P14" t="str">
        <v>11.422</v>
      </c>
      <c r="Q14" t="str">
        <v>8.99064</v>
      </c>
      <c r="R14" t="str">
        <v>0</v>
      </c>
      <c r="S14" t="str">
        <v>11.422</v>
      </c>
    </row>
    <row r="15" spans="1:19" x14ac:dyDescent="0.35">
      <c r="A15" t="s">
        <v>803</v>
      </c>
      <c r="L15" t="str" cm="1">
        <f t="array" ref="L15:S15">_xlfn.TEXTSPLIT(A15, ",")</f>
        <v>36</v>
      </c>
      <c r="M15" t="str">
        <v>22</v>
      </c>
      <c r="N15" t="str">
        <v>15.9433</v>
      </c>
      <c r="O15" t="str">
        <v>0.23781</v>
      </c>
      <c r="P15" t="str">
        <v>93.9087</v>
      </c>
      <c r="Q15" t="str">
        <v>6.91296</v>
      </c>
      <c r="R15" t="str">
        <v>0</v>
      </c>
      <c r="S15" t="str">
        <v>93.9087</v>
      </c>
    </row>
    <row r="16" spans="1:19" x14ac:dyDescent="0.35">
      <c r="A16" t="s">
        <v>804</v>
      </c>
      <c r="L16" t="str" cm="1">
        <f t="array" ref="L16:S16">_xlfn.TEXTSPLIT(A16, ",")</f>
        <v>36</v>
      </c>
      <c r="M16" t="str">
        <v>24</v>
      </c>
      <c r="N16" t="str">
        <v>62.8622</v>
      </c>
      <c r="O16" t="str">
        <v>0.236909</v>
      </c>
      <c r="P16" t="str">
        <v>66.6103</v>
      </c>
      <c r="Q16" t="str">
        <v>7.96789</v>
      </c>
      <c r="R16" t="str">
        <v>0</v>
      </c>
      <c r="S16" t="str">
        <v>66.6103</v>
      </c>
    </row>
    <row r="17" spans="1:19" x14ac:dyDescent="0.35">
      <c r="A17" t="s">
        <v>805</v>
      </c>
      <c r="L17" t="str" cm="1">
        <f t="array" ref="L17:S17">_xlfn.TEXTSPLIT(A17, ",")</f>
        <v>36</v>
      </c>
      <c r="M17" t="str">
        <v>26</v>
      </c>
      <c r="N17" t="str">
        <v>42.0266</v>
      </c>
      <c r="O17" t="str">
        <v>0.22854</v>
      </c>
      <c r="P17" t="str">
        <v>55.309</v>
      </c>
      <c r="Q17" t="str">
        <v>8.31927</v>
      </c>
      <c r="R17" t="str">
        <v>0</v>
      </c>
      <c r="S17" t="str">
        <v>55.309</v>
      </c>
    </row>
    <row r="18" spans="1:19" x14ac:dyDescent="0.35">
      <c r="A18" t="s">
        <v>806</v>
      </c>
      <c r="L18" t="str" cm="1">
        <f t="array" ref="L18:S18">_xlfn.TEXTSPLIT(A18, ",")</f>
        <v>38</v>
      </c>
      <c r="M18" t="str">
        <v>20</v>
      </c>
      <c r="N18" t="str">
        <v>8.35472</v>
      </c>
      <c r="O18" t="str">
        <v>0.218538</v>
      </c>
      <c r="P18" t="str">
        <v>12.2164</v>
      </c>
      <c r="Q18" t="str">
        <v>8.91</v>
      </c>
      <c r="R18" t="str">
        <v>0</v>
      </c>
      <c r="S18" t="str">
        <v>12.2164</v>
      </c>
    </row>
    <row r="19" spans="1:19" x14ac:dyDescent="0.35">
      <c r="A19" t="s">
        <v>807</v>
      </c>
      <c r="L19" t="str" cm="1">
        <f t="array" ref="L19:S19">_xlfn.TEXTSPLIT(A19, ",")</f>
        <v>38</v>
      </c>
      <c r="M19" t="str">
        <v>22</v>
      </c>
      <c r="N19" t="str">
        <v>8.2166</v>
      </c>
      <c r="O19" t="str">
        <v>0.217723</v>
      </c>
      <c r="P19" t="str">
        <v>11.5104</v>
      </c>
      <c r="Q19" t="str">
        <v>8.98167</v>
      </c>
      <c r="R19" t="str">
        <v>0</v>
      </c>
      <c r="S19" t="str">
        <v>11.5104</v>
      </c>
    </row>
    <row r="20" spans="1:19" x14ac:dyDescent="0.35">
      <c r="A20" t="s">
        <v>808</v>
      </c>
      <c r="L20" t="str" cm="1">
        <f t="array" ref="L20:S20">_xlfn.TEXTSPLIT(A20, ",")</f>
        <v>38</v>
      </c>
      <c r="M20" t="str">
        <v>24</v>
      </c>
      <c r="N20" t="str">
        <v>8.06874</v>
      </c>
      <c r="O20" t="str">
        <v>0.215003</v>
      </c>
      <c r="P20" t="str">
        <v>9.65334</v>
      </c>
      <c r="Q20" t="str">
        <v>9.17016</v>
      </c>
      <c r="R20" t="str">
        <v>0</v>
      </c>
      <c r="S20" t="str">
        <v>9.65334</v>
      </c>
    </row>
    <row r="21" spans="1:19" x14ac:dyDescent="0.35">
      <c r="A21" t="s">
        <v>809</v>
      </c>
      <c r="L21" t="str" cm="1">
        <f t="array" ref="L21:S21">_xlfn.TEXTSPLIT(A21, ",")</f>
        <v>38</v>
      </c>
      <c r="M21" t="str">
        <v>26</v>
      </c>
      <c r="N21" t="str">
        <v>26.0638</v>
      </c>
      <c r="O21" t="str">
        <v>0.241465</v>
      </c>
      <c r="P21" t="str">
        <v>95.14</v>
      </c>
      <c r="Q21" t="str">
        <v>6.5404</v>
      </c>
      <c r="R21" t="str">
        <v>0</v>
      </c>
      <c r="S21" t="str">
        <v>95.14</v>
      </c>
    </row>
    <row r="22" spans="1:19" x14ac:dyDescent="0.35">
      <c r="A22" t="s">
        <v>810</v>
      </c>
      <c r="L22" t="str" cm="1">
        <f t="array" ref="L22:S22">_xlfn.TEXTSPLIT(A22, ",")</f>
        <v>40</v>
      </c>
      <c r="M22" t="str">
        <v>20</v>
      </c>
      <c r="N22" t="str">
        <v>8.28251</v>
      </c>
      <c r="O22" t="str">
        <v>0.218132</v>
      </c>
      <c r="P22" t="str">
        <v>11.7861</v>
      </c>
      <c r="Q22" t="str">
        <v>8.95368</v>
      </c>
      <c r="R22" t="str">
        <v>0</v>
      </c>
      <c r="S22" t="str">
        <v>11.7861</v>
      </c>
    </row>
    <row r="23" spans="1:19" x14ac:dyDescent="0.35">
      <c r="A23" t="s">
        <v>811</v>
      </c>
      <c r="L23" t="str" cm="1">
        <f t="array" ref="L23:S23">_xlfn.TEXTSPLIT(A23, ",")</f>
        <v>40</v>
      </c>
      <c r="M23" t="str">
        <v>22</v>
      </c>
      <c r="N23" t="str">
        <v>29.0719</v>
      </c>
      <c r="O23" t="str">
        <v>0.287067</v>
      </c>
      <c r="P23" t="str">
        <v>97.1748</v>
      </c>
      <c r="Q23" t="str">
        <v>5.06272</v>
      </c>
      <c r="R23" t="str">
        <v>0</v>
      </c>
      <c r="S23" t="str">
        <v>97.1748</v>
      </c>
    </row>
    <row r="24" spans="1:19" x14ac:dyDescent="0.35">
      <c r="A24" t="s">
        <v>812</v>
      </c>
      <c r="L24" t="str" cm="1">
        <f t="array" ref="L24:S24">_xlfn.TEXTSPLIT(A24, ",")</f>
        <v>40</v>
      </c>
      <c r="M24" t="str">
        <v>24</v>
      </c>
      <c r="N24" t="str">
        <v>8.05031</v>
      </c>
      <c r="O24" t="str">
        <v>0.215029</v>
      </c>
      <c r="P24" t="str">
        <v>9.53011</v>
      </c>
      <c r="Q24" t="str">
        <v>9.18266</v>
      </c>
      <c r="R24" t="str">
        <v>0</v>
      </c>
      <c r="S24" t="str">
        <v>9.53011</v>
      </c>
    </row>
    <row r="25" spans="1:19" x14ac:dyDescent="0.35">
      <c r="A25" t="s">
        <v>813</v>
      </c>
      <c r="L25" t="str" cm="1">
        <f t="array" ref="L25:S25">_xlfn.TEXTSPLIT(A25, ",")</f>
        <v>40</v>
      </c>
      <c r="M25" t="str">
        <v>26</v>
      </c>
      <c r="N25" t="str">
        <v>8.02742</v>
      </c>
      <c r="O25" t="str">
        <v>0.213647</v>
      </c>
      <c r="P25" t="str">
        <v>9.1988</v>
      </c>
      <c r="Q25" t="str">
        <v>9.21629</v>
      </c>
      <c r="R25" t="str">
        <v>0</v>
      </c>
      <c r="S25" t="str">
        <v>9.1988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50313-DCFE-457A-A66C-564718CD4D8D}">
  <dimension ref="A1:U433"/>
  <sheetViews>
    <sheetView topLeftCell="A181" workbookViewId="0">
      <selection activeCell="M1" sqref="M1:N1"/>
    </sheetView>
  </sheetViews>
  <sheetFormatPr defaultRowHeight="14.5" x14ac:dyDescent="0.35"/>
  <sheetData>
    <row r="1" spans="1:21" x14ac:dyDescent="0.35">
      <c r="A1" t="s">
        <v>14</v>
      </c>
      <c r="M1" t="str" cm="1">
        <f t="array" ref="M1:U1">_xlfn.TEXTSPLIT(A1, ",")</f>
        <v>Band</v>
      </c>
      <c r="N1" t="str">
        <v>TxPower(dBm)</v>
      </c>
      <c r="O1" t="str">
        <v>PacketSize(B)</v>
      </c>
      <c r="P1" t="str">
        <v>Altitude(m)</v>
      </c>
      <c r="Q1" t="str">
        <v>Speed(m/s)</v>
      </c>
      <c r="R1" t="str">
        <v>AvgDelay(ms)</v>
      </c>
      <c r="S1" t="str">
        <v>Jitter(ms)</v>
      </c>
      <c r="T1" t="str">
        <v>PacketLoss(%)</v>
      </c>
      <c r="U1" t="str">
        <v>Throughput(Mbps)</v>
      </c>
    </row>
    <row r="2" spans="1:21" x14ac:dyDescent="0.35">
      <c r="A2" t="s">
        <v>15</v>
      </c>
      <c r="M2" t="s">
        <v>506</v>
      </c>
      <c r="R2">
        <v>0</v>
      </c>
      <c r="S2">
        <v>0</v>
      </c>
      <c r="T2">
        <v>5.6889700000000001E-2</v>
      </c>
    </row>
    <row r="3" spans="1:21" x14ac:dyDescent="0.35">
      <c r="A3" t="s">
        <v>16</v>
      </c>
      <c r="M3" t="str" cm="1">
        <f t="array" ref="M3:U3">_xlfn.TEXTSPLIT(A3, ",")</f>
        <v>2.6GHz</v>
      </c>
      <c r="N3" t="str">
        <v>23</v>
      </c>
      <c r="O3" t="str">
        <v>128</v>
      </c>
      <c r="P3" t="str">
        <v>1.5</v>
      </c>
      <c r="Q3" t="str">
        <v>10</v>
      </c>
      <c r="R3" t="str">
        <v>0.000502</v>
      </c>
      <c r="S3" t="str">
        <v>0</v>
      </c>
      <c r="T3" t="str">
        <v>0</v>
      </c>
      <c r="U3" t="str">
        <v>0.0568897</v>
      </c>
    </row>
    <row r="4" spans="1:21" x14ac:dyDescent="0.35">
      <c r="A4" t="s">
        <v>17</v>
      </c>
      <c r="M4" t="str" cm="1">
        <f t="array" ref="M4:U4">_xlfn.TEXTSPLIT(A4, ",")</f>
        <v>2.6GHz</v>
      </c>
      <c r="N4" t="str">
        <v>23</v>
      </c>
      <c r="O4" t="str">
        <v>128</v>
      </c>
      <c r="P4" t="str">
        <v>1.5</v>
      </c>
      <c r="Q4" t="str">
        <v>30</v>
      </c>
      <c r="R4" t="str">
        <v>0.000502</v>
      </c>
      <c r="S4" t="str">
        <v>0</v>
      </c>
      <c r="T4" t="str">
        <v>0</v>
      </c>
      <c r="U4" t="str">
        <v>0.0568897</v>
      </c>
    </row>
    <row r="5" spans="1:21" x14ac:dyDescent="0.35">
      <c r="A5" t="s">
        <v>18</v>
      </c>
      <c r="M5" t="str" cm="1">
        <f t="array" ref="M5:U5">_xlfn.TEXTSPLIT(A5, ",")</f>
        <v>2.6GHz</v>
      </c>
      <c r="N5" t="str">
        <v>23</v>
      </c>
      <c r="O5" t="str">
        <v>128</v>
      </c>
      <c r="P5" t="str">
        <v>1.5</v>
      </c>
      <c r="Q5" t="str">
        <v>60</v>
      </c>
      <c r="R5" t="str">
        <v>0.000502</v>
      </c>
      <c r="S5" t="str">
        <v>0</v>
      </c>
      <c r="T5" t="str">
        <v>0</v>
      </c>
      <c r="U5" t="str">
        <v>0.0568897</v>
      </c>
    </row>
    <row r="6" spans="1:21" x14ac:dyDescent="0.35">
      <c r="A6" t="s">
        <v>19</v>
      </c>
      <c r="M6" t="str" cm="1">
        <f t="array" ref="M6:U6">_xlfn.TEXTSPLIT(A6, ",")</f>
        <v>2.6GHz</v>
      </c>
      <c r="N6" t="str">
        <v>23</v>
      </c>
      <c r="O6" t="str">
        <v>128</v>
      </c>
      <c r="P6" t="str">
        <v>20</v>
      </c>
      <c r="Q6" t="str">
        <v>0</v>
      </c>
      <c r="R6" t="str">
        <v>0.000502</v>
      </c>
      <c r="S6" t="str">
        <v>0</v>
      </c>
      <c r="T6" t="str">
        <v>0</v>
      </c>
      <c r="U6" t="str">
        <v>0.0568897</v>
      </c>
    </row>
    <row r="7" spans="1:21" x14ac:dyDescent="0.35">
      <c r="A7" t="s">
        <v>20</v>
      </c>
      <c r="M7" t="str" cm="1">
        <f t="array" ref="M7:U7">_xlfn.TEXTSPLIT(A7, ",")</f>
        <v>2.6GHz</v>
      </c>
      <c r="N7" t="str">
        <v>23</v>
      </c>
      <c r="O7" t="str">
        <v>128</v>
      </c>
      <c r="P7" t="str">
        <v>20</v>
      </c>
      <c r="Q7" t="str">
        <v>10</v>
      </c>
      <c r="R7" t="str">
        <v>0.000502</v>
      </c>
      <c r="S7" t="str">
        <v>0</v>
      </c>
      <c r="T7" t="str">
        <v>0</v>
      </c>
      <c r="U7" t="str">
        <v>0.0568897</v>
      </c>
    </row>
    <row r="8" spans="1:21" x14ac:dyDescent="0.35">
      <c r="A8" t="s">
        <v>21</v>
      </c>
      <c r="M8" t="str" cm="1">
        <f t="array" ref="M8:U8">_xlfn.TEXTSPLIT(A8, ",")</f>
        <v>2.6GHz</v>
      </c>
      <c r="N8" t="str">
        <v>23</v>
      </c>
      <c r="O8" t="str">
        <v>128</v>
      </c>
      <c r="P8" t="str">
        <v>20</v>
      </c>
      <c r="Q8" t="str">
        <v>30</v>
      </c>
      <c r="R8" t="str">
        <v>0.000502</v>
      </c>
      <c r="S8" t="str">
        <v>0</v>
      </c>
      <c r="T8" t="str">
        <v>0</v>
      </c>
      <c r="U8" t="str">
        <v>0.0568897</v>
      </c>
    </row>
    <row r="9" spans="1:21" x14ac:dyDescent="0.35">
      <c r="A9" t="s">
        <v>22</v>
      </c>
      <c r="M9" t="str" cm="1">
        <f t="array" ref="M9:U9">_xlfn.TEXTSPLIT(A9, ",")</f>
        <v>2.6GHz</v>
      </c>
      <c r="N9" t="str">
        <v>23</v>
      </c>
      <c r="O9" t="str">
        <v>128</v>
      </c>
      <c r="P9" t="str">
        <v>20</v>
      </c>
      <c r="Q9" t="str">
        <v>60</v>
      </c>
      <c r="R9" t="str">
        <v>0.000502</v>
      </c>
      <c r="S9" t="str">
        <v>0</v>
      </c>
      <c r="T9" t="str">
        <v>0</v>
      </c>
      <c r="U9" t="str">
        <v>0.0568897</v>
      </c>
    </row>
    <row r="10" spans="1:21" x14ac:dyDescent="0.35">
      <c r="A10" t="s">
        <v>23</v>
      </c>
      <c r="M10" t="str" cm="1">
        <f t="array" ref="M10:U10">_xlfn.TEXTSPLIT(A10, ",")</f>
        <v>2.6GHz</v>
      </c>
      <c r="N10" t="str">
        <v>23</v>
      </c>
      <c r="O10" t="str">
        <v>128</v>
      </c>
      <c r="P10" t="str">
        <v>50</v>
      </c>
      <c r="Q10" t="str">
        <v>0</v>
      </c>
      <c r="R10" t="str">
        <v>0.000502</v>
      </c>
      <c r="S10" t="str">
        <v>0</v>
      </c>
      <c r="T10" t="str">
        <v>0</v>
      </c>
      <c r="U10" t="str">
        <v>0.0568897</v>
      </c>
    </row>
    <row r="11" spans="1:21" x14ac:dyDescent="0.35">
      <c r="A11" t="s">
        <v>24</v>
      </c>
      <c r="M11" t="str" cm="1">
        <f t="array" ref="M11:U11">_xlfn.TEXTSPLIT(A11, ",")</f>
        <v>2.6GHz</v>
      </c>
      <c r="N11" t="str">
        <v>23</v>
      </c>
      <c r="O11" t="str">
        <v>128</v>
      </c>
      <c r="P11" t="str">
        <v>50</v>
      </c>
      <c r="Q11" t="str">
        <v>10</v>
      </c>
      <c r="R11" t="str">
        <v>0.000502</v>
      </c>
      <c r="S11" t="str">
        <v>0</v>
      </c>
      <c r="T11" t="str">
        <v>0</v>
      </c>
      <c r="U11" t="str">
        <v>0.0568897</v>
      </c>
    </row>
    <row r="12" spans="1:21" x14ac:dyDescent="0.35">
      <c r="A12" t="s">
        <v>25</v>
      </c>
      <c r="M12" t="str" cm="1">
        <f t="array" ref="M12:U12">_xlfn.TEXTSPLIT(A12, ",")</f>
        <v>2.6GHz</v>
      </c>
      <c r="N12" t="str">
        <v>23</v>
      </c>
      <c r="O12" t="str">
        <v>128</v>
      </c>
      <c r="P12" t="str">
        <v>50</v>
      </c>
      <c r="Q12" t="str">
        <v>30</v>
      </c>
      <c r="R12" t="str">
        <v>0.000502</v>
      </c>
      <c r="S12" t="str">
        <v>0</v>
      </c>
      <c r="T12" t="str">
        <v>0</v>
      </c>
      <c r="U12" t="str">
        <v>0.0568897</v>
      </c>
    </row>
    <row r="13" spans="1:21" x14ac:dyDescent="0.35">
      <c r="A13" t="s">
        <v>26</v>
      </c>
      <c r="M13" t="str" cm="1">
        <f t="array" ref="M13:U13">_xlfn.TEXTSPLIT(A13, ",")</f>
        <v>2.6GHz</v>
      </c>
      <c r="N13" t="str">
        <v>23</v>
      </c>
      <c r="O13" t="str">
        <v>128</v>
      </c>
      <c r="P13" t="str">
        <v>50</v>
      </c>
      <c r="Q13" t="str">
        <v>60</v>
      </c>
      <c r="R13" t="str">
        <v>0.000502</v>
      </c>
      <c r="S13" t="str">
        <v>0</v>
      </c>
      <c r="T13" t="str">
        <v>0</v>
      </c>
      <c r="U13" t="str">
        <v>0.0568897</v>
      </c>
    </row>
    <row r="14" spans="1:21" x14ac:dyDescent="0.35">
      <c r="A14" t="s">
        <v>27</v>
      </c>
      <c r="M14" t="str" cm="1">
        <f t="array" ref="M14:U14">_xlfn.TEXTSPLIT(A14, ",")</f>
        <v>2.6GHz</v>
      </c>
      <c r="N14" t="str">
        <v>23</v>
      </c>
      <c r="O14" t="str">
        <v>128</v>
      </c>
      <c r="P14" t="str">
        <v>100</v>
      </c>
      <c r="Q14" t="str">
        <v>0</v>
      </c>
      <c r="R14" t="str">
        <v>0.000502</v>
      </c>
      <c r="S14" t="str">
        <v>0</v>
      </c>
      <c r="T14" t="str">
        <v>0</v>
      </c>
      <c r="U14" t="str">
        <v>0.0568897</v>
      </c>
    </row>
    <row r="15" spans="1:21" x14ac:dyDescent="0.35">
      <c r="A15" t="s">
        <v>28</v>
      </c>
      <c r="M15" t="str" cm="1">
        <f t="array" ref="M15:U15">_xlfn.TEXTSPLIT(A15, ",")</f>
        <v>2.6GHz</v>
      </c>
      <c r="N15" t="str">
        <v>23</v>
      </c>
      <c r="O15" t="str">
        <v>128</v>
      </c>
      <c r="P15" t="str">
        <v>100</v>
      </c>
      <c r="Q15" t="str">
        <v>10</v>
      </c>
      <c r="R15" t="str">
        <v>0.000502</v>
      </c>
      <c r="S15" t="str">
        <v>0</v>
      </c>
      <c r="T15" t="str">
        <v>0</v>
      </c>
      <c r="U15" t="str">
        <v>0.0568897</v>
      </c>
    </row>
    <row r="16" spans="1:21" x14ac:dyDescent="0.35">
      <c r="A16" t="s">
        <v>29</v>
      </c>
      <c r="M16" t="str" cm="1">
        <f t="array" ref="M16:U16">_xlfn.TEXTSPLIT(A16, ",")</f>
        <v>2.6GHz</v>
      </c>
      <c r="N16" t="str">
        <v>23</v>
      </c>
      <c r="O16" t="str">
        <v>128</v>
      </c>
      <c r="P16" t="str">
        <v>100</v>
      </c>
      <c r="Q16" t="str">
        <v>30</v>
      </c>
      <c r="R16" t="str">
        <v>0.000502</v>
      </c>
      <c r="S16" t="str">
        <v>0</v>
      </c>
      <c r="T16" t="str">
        <v>0</v>
      </c>
      <c r="U16" t="str">
        <v>0.0568897</v>
      </c>
    </row>
    <row r="17" spans="1:21" x14ac:dyDescent="0.35">
      <c r="A17" t="s">
        <v>30</v>
      </c>
      <c r="M17" t="str" cm="1">
        <f t="array" ref="M17:U17">_xlfn.TEXTSPLIT(A17, ",")</f>
        <v>2.6GHz</v>
      </c>
      <c r="N17" t="str">
        <v>23</v>
      </c>
      <c r="O17" t="str">
        <v>128</v>
      </c>
      <c r="P17" t="str">
        <v>100</v>
      </c>
      <c r="Q17" t="str">
        <v>60</v>
      </c>
      <c r="R17" t="str">
        <v>0.000502</v>
      </c>
      <c r="S17" t="str">
        <v>0</v>
      </c>
      <c r="T17" t="str">
        <v>0</v>
      </c>
      <c r="U17" t="str">
        <v>0.0568897</v>
      </c>
    </row>
    <row r="18" spans="1:21" x14ac:dyDescent="0.35">
      <c r="A18" t="s">
        <v>31</v>
      </c>
      <c r="M18" t="str" cm="1">
        <f t="array" ref="M18:U18">_xlfn.TEXTSPLIT(A18, ",")</f>
        <v>2.6GHz</v>
      </c>
      <c r="N18" t="str">
        <v>23</v>
      </c>
      <c r="O18" t="str">
        <v>512</v>
      </c>
      <c r="P18" t="str">
        <v>1.5</v>
      </c>
      <c r="Q18" t="str">
        <v>0</v>
      </c>
      <c r="R18" t="str">
        <v>0.000502</v>
      </c>
      <c r="S18" t="str">
        <v>0</v>
      </c>
      <c r="T18" t="str">
        <v>0</v>
      </c>
      <c r="U18" t="str">
        <v>0.1957</v>
      </c>
    </row>
    <row r="19" spans="1:21" x14ac:dyDescent="0.35">
      <c r="A19" t="s">
        <v>32</v>
      </c>
      <c r="M19" t="str" cm="1">
        <f t="array" ref="M19:U19">_xlfn.TEXTSPLIT(A19, ",")</f>
        <v>2.6GHz</v>
      </c>
      <c r="N19" t="str">
        <v>23</v>
      </c>
      <c r="O19" t="str">
        <v>512</v>
      </c>
      <c r="P19" t="str">
        <v>1.5</v>
      </c>
      <c r="Q19" t="str">
        <v>10</v>
      </c>
      <c r="R19" t="str">
        <v>0.000502</v>
      </c>
      <c r="S19" t="str">
        <v>0</v>
      </c>
      <c r="T19" t="str">
        <v>0</v>
      </c>
      <c r="U19" t="str">
        <v>0.1957</v>
      </c>
    </row>
    <row r="20" spans="1:21" x14ac:dyDescent="0.35">
      <c r="A20" t="s">
        <v>33</v>
      </c>
      <c r="M20" t="str" cm="1">
        <f t="array" ref="M20:U20">_xlfn.TEXTSPLIT(A20, ",")</f>
        <v>2.6GHz</v>
      </c>
      <c r="N20" t="str">
        <v>23</v>
      </c>
      <c r="O20" t="str">
        <v>512</v>
      </c>
      <c r="P20" t="str">
        <v>1.5</v>
      </c>
      <c r="Q20" t="str">
        <v>30</v>
      </c>
      <c r="R20" t="str">
        <v>0.000502</v>
      </c>
      <c r="S20" t="str">
        <v>0</v>
      </c>
      <c r="T20" t="str">
        <v>0</v>
      </c>
      <c r="U20" t="str">
        <v>0.1957</v>
      </c>
    </row>
    <row r="21" spans="1:21" x14ac:dyDescent="0.35">
      <c r="A21" t="s">
        <v>34</v>
      </c>
      <c r="M21" t="str" cm="1">
        <f t="array" ref="M21:U21">_xlfn.TEXTSPLIT(A21, ",")</f>
        <v>2.6GHz</v>
      </c>
      <c r="N21" t="str">
        <v>23</v>
      </c>
      <c r="O21" t="str">
        <v>512</v>
      </c>
      <c r="P21" t="str">
        <v>1.5</v>
      </c>
      <c r="Q21" t="str">
        <v>60</v>
      </c>
      <c r="R21" t="str">
        <v>0.000502</v>
      </c>
      <c r="S21" t="str">
        <v>0</v>
      </c>
      <c r="T21" t="str">
        <v>0</v>
      </c>
      <c r="U21" t="str">
        <v>0.1957</v>
      </c>
    </row>
    <row r="22" spans="1:21" x14ac:dyDescent="0.35">
      <c r="A22" t="s">
        <v>35</v>
      </c>
      <c r="M22" t="str" cm="1">
        <f t="array" ref="M22:U22">_xlfn.TEXTSPLIT(A22, ",")</f>
        <v>2.6GHz</v>
      </c>
      <c r="N22" t="str">
        <v>23</v>
      </c>
      <c r="O22" t="str">
        <v>512</v>
      </c>
      <c r="P22" t="str">
        <v>20</v>
      </c>
      <c r="Q22" t="str">
        <v>0</v>
      </c>
      <c r="R22" t="str">
        <v>0.000502</v>
      </c>
      <c r="S22" t="str">
        <v>0</v>
      </c>
      <c r="T22" t="str">
        <v>0</v>
      </c>
      <c r="U22" t="str">
        <v>0.1957</v>
      </c>
    </row>
    <row r="23" spans="1:21" x14ac:dyDescent="0.35">
      <c r="A23" t="s">
        <v>36</v>
      </c>
      <c r="M23" t="str" cm="1">
        <f t="array" ref="M23:U23">_xlfn.TEXTSPLIT(A23, ",")</f>
        <v>2.6GHz</v>
      </c>
      <c r="N23" t="str">
        <v>23</v>
      </c>
      <c r="O23" t="str">
        <v>512</v>
      </c>
      <c r="P23" t="str">
        <v>20</v>
      </c>
      <c r="Q23" t="str">
        <v>10</v>
      </c>
      <c r="R23" t="str">
        <v>0.000502</v>
      </c>
      <c r="S23" t="str">
        <v>0</v>
      </c>
      <c r="T23" t="str">
        <v>0</v>
      </c>
      <c r="U23" t="str">
        <v>0.1957</v>
      </c>
    </row>
    <row r="24" spans="1:21" x14ac:dyDescent="0.35">
      <c r="A24" t="s">
        <v>37</v>
      </c>
      <c r="M24" t="str" cm="1">
        <f t="array" ref="M24:U24">_xlfn.TEXTSPLIT(A24, ",")</f>
        <v>2.6GHz</v>
      </c>
      <c r="N24" t="str">
        <v>23</v>
      </c>
      <c r="O24" t="str">
        <v>512</v>
      </c>
      <c r="P24" t="str">
        <v>20</v>
      </c>
      <c r="Q24" t="str">
        <v>30</v>
      </c>
      <c r="R24" t="str">
        <v>0.000502</v>
      </c>
      <c r="S24" t="str">
        <v>0</v>
      </c>
      <c r="T24" t="str">
        <v>0</v>
      </c>
      <c r="U24" t="str">
        <v>0.1957</v>
      </c>
    </row>
    <row r="25" spans="1:21" x14ac:dyDescent="0.35">
      <c r="A25" t="s">
        <v>38</v>
      </c>
      <c r="M25" t="str" cm="1">
        <f t="array" ref="M25:U25">_xlfn.TEXTSPLIT(A25, ",")</f>
        <v>2.6GHz</v>
      </c>
      <c r="N25" t="str">
        <v>23</v>
      </c>
      <c r="O25" t="str">
        <v>512</v>
      </c>
      <c r="P25" t="str">
        <v>20</v>
      </c>
      <c r="Q25" t="str">
        <v>60</v>
      </c>
      <c r="R25" t="str">
        <v>0.000502</v>
      </c>
      <c r="S25" t="str">
        <v>0</v>
      </c>
      <c r="T25" t="str">
        <v>0</v>
      </c>
      <c r="U25" t="str">
        <v>0.1957</v>
      </c>
    </row>
    <row r="26" spans="1:21" x14ac:dyDescent="0.35">
      <c r="A26" t="s">
        <v>39</v>
      </c>
      <c r="M26" t="str" cm="1">
        <f t="array" ref="M26:U26">_xlfn.TEXTSPLIT(A26, ",")</f>
        <v>2.6GHz</v>
      </c>
      <c r="N26" t="str">
        <v>23</v>
      </c>
      <c r="O26" t="str">
        <v>512</v>
      </c>
      <c r="P26" t="str">
        <v>50</v>
      </c>
      <c r="Q26" t="str">
        <v>0</v>
      </c>
      <c r="R26" t="str">
        <v>0.000502</v>
      </c>
      <c r="S26" t="str">
        <v>0</v>
      </c>
      <c r="T26" t="str">
        <v>0</v>
      </c>
      <c r="U26" t="str">
        <v>0.1957</v>
      </c>
    </row>
    <row r="27" spans="1:21" x14ac:dyDescent="0.35">
      <c r="A27" t="s">
        <v>40</v>
      </c>
      <c r="M27" t="str" cm="1">
        <f t="array" ref="M27:U27">_xlfn.TEXTSPLIT(A27, ",")</f>
        <v>2.6GHz</v>
      </c>
      <c r="N27" t="str">
        <v>23</v>
      </c>
      <c r="O27" t="str">
        <v>512</v>
      </c>
      <c r="P27" t="str">
        <v>50</v>
      </c>
      <c r="Q27" t="str">
        <v>10</v>
      </c>
      <c r="R27" t="str">
        <v>0.000502</v>
      </c>
      <c r="S27" t="str">
        <v>0</v>
      </c>
      <c r="T27" t="str">
        <v>0</v>
      </c>
      <c r="U27" t="str">
        <v>0.1957</v>
      </c>
    </row>
    <row r="28" spans="1:21" x14ac:dyDescent="0.35">
      <c r="A28" t="s">
        <v>41</v>
      </c>
      <c r="M28" t="str" cm="1">
        <f t="array" ref="M28:U28">_xlfn.TEXTSPLIT(A28, ",")</f>
        <v>2.6GHz</v>
      </c>
      <c r="N28" t="str">
        <v>23</v>
      </c>
      <c r="O28" t="str">
        <v>512</v>
      </c>
      <c r="P28" t="str">
        <v>50</v>
      </c>
      <c r="Q28" t="str">
        <v>30</v>
      </c>
      <c r="R28" t="str">
        <v>0.000502</v>
      </c>
      <c r="S28" t="str">
        <v>0</v>
      </c>
      <c r="T28" t="str">
        <v>0</v>
      </c>
      <c r="U28" t="str">
        <v>0.1957</v>
      </c>
    </row>
    <row r="29" spans="1:21" x14ac:dyDescent="0.35">
      <c r="A29" t="s">
        <v>42</v>
      </c>
      <c r="M29" t="str" cm="1">
        <f t="array" ref="M29:U29">_xlfn.TEXTSPLIT(A29, ",")</f>
        <v>2.6GHz</v>
      </c>
      <c r="N29" t="str">
        <v>23</v>
      </c>
      <c r="O29" t="str">
        <v>512</v>
      </c>
      <c r="P29" t="str">
        <v>50</v>
      </c>
      <c r="Q29" t="str">
        <v>60</v>
      </c>
      <c r="R29" t="str">
        <v>0.000502</v>
      </c>
      <c r="S29" t="str">
        <v>0</v>
      </c>
      <c r="T29" t="str">
        <v>0</v>
      </c>
      <c r="U29" t="str">
        <v>0.1957</v>
      </c>
    </row>
    <row r="30" spans="1:21" x14ac:dyDescent="0.35">
      <c r="A30" t="s">
        <v>43</v>
      </c>
      <c r="M30" t="str" cm="1">
        <f t="array" ref="M30:U30">_xlfn.TEXTSPLIT(A30, ",")</f>
        <v>2.6GHz</v>
      </c>
      <c r="N30" t="str">
        <v>23</v>
      </c>
      <c r="O30" t="str">
        <v>512</v>
      </c>
      <c r="P30" t="str">
        <v>100</v>
      </c>
      <c r="Q30" t="str">
        <v>0</v>
      </c>
      <c r="R30" t="str">
        <v>0.000502</v>
      </c>
      <c r="S30" t="str">
        <v>0</v>
      </c>
      <c r="T30" t="str">
        <v>0</v>
      </c>
      <c r="U30" t="str">
        <v>0.1957</v>
      </c>
    </row>
    <row r="31" spans="1:21" x14ac:dyDescent="0.35">
      <c r="A31" t="s">
        <v>44</v>
      </c>
      <c r="M31" t="str" cm="1">
        <f t="array" ref="M31:U31">_xlfn.TEXTSPLIT(A31, ",")</f>
        <v>2.6GHz</v>
      </c>
      <c r="N31" t="str">
        <v>23</v>
      </c>
      <c r="O31" t="str">
        <v>512</v>
      </c>
      <c r="P31" t="str">
        <v>100</v>
      </c>
      <c r="Q31" t="str">
        <v>10</v>
      </c>
      <c r="R31" t="str">
        <v>0.000502</v>
      </c>
      <c r="S31" t="str">
        <v>0</v>
      </c>
      <c r="T31" t="str">
        <v>0</v>
      </c>
      <c r="U31" t="str">
        <v>0.1957</v>
      </c>
    </row>
    <row r="32" spans="1:21" x14ac:dyDescent="0.35">
      <c r="A32" t="s">
        <v>45</v>
      </c>
      <c r="M32" t="str" cm="1">
        <f t="array" ref="M32:U32">_xlfn.TEXTSPLIT(A32, ",")</f>
        <v>2.6GHz</v>
      </c>
      <c r="N32" t="str">
        <v>23</v>
      </c>
      <c r="O32" t="str">
        <v>512</v>
      </c>
      <c r="P32" t="str">
        <v>100</v>
      </c>
      <c r="Q32" t="str">
        <v>30</v>
      </c>
      <c r="R32" t="str">
        <v>0.000502</v>
      </c>
      <c r="S32" t="str">
        <v>0</v>
      </c>
      <c r="T32" t="str">
        <v>0</v>
      </c>
      <c r="U32" t="str">
        <v>0.1957</v>
      </c>
    </row>
    <row r="33" spans="1:21" x14ac:dyDescent="0.35">
      <c r="A33" t="s">
        <v>46</v>
      </c>
      <c r="M33" t="str" cm="1">
        <f t="array" ref="M33:U33">_xlfn.TEXTSPLIT(A33, ",")</f>
        <v>2.6GHz</v>
      </c>
      <c r="N33" t="str">
        <v>23</v>
      </c>
      <c r="O33" t="str">
        <v>512</v>
      </c>
      <c r="P33" t="str">
        <v>100</v>
      </c>
      <c r="Q33" t="str">
        <v>60</v>
      </c>
      <c r="R33" t="str">
        <v>0.000502</v>
      </c>
      <c r="S33" t="str">
        <v>0</v>
      </c>
      <c r="T33" t="str">
        <v>0</v>
      </c>
      <c r="U33" t="str">
        <v>0.1957</v>
      </c>
    </row>
    <row r="34" spans="1:21" x14ac:dyDescent="0.35">
      <c r="A34" t="s">
        <v>47</v>
      </c>
      <c r="M34" t="str" cm="1">
        <f t="array" ref="M34:U34">_xlfn.TEXTSPLIT(A34, ",")</f>
        <v>2.6GHz</v>
      </c>
      <c r="N34" t="str">
        <v>23</v>
      </c>
      <c r="O34" t="str">
        <v>1200</v>
      </c>
      <c r="P34" t="str">
        <v>1.5</v>
      </c>
      <c r="Q34" t="str">
        <v>0</v>
      </c>
      <c r="R34" t="str">
        <v>0.000502</v>
      </c>
      <c r="S34" t="str">
        <v>0</v>
      </c>
      <c r="T34" t="str">
        <v>0</v>
      </c>
      <c r="U34" t="str">
        <v>0.444401</v>
      </c>
    </row>
    <row r="35" spans="1:21" x14ac:dyDescent="0.35">
      <c r="A35" t="s">
        <v>48</v>
      </c>
      <c r="M35" t="str" cm="1">
        <f t="array" ref="M35:U35">_xlfn.TEXTSPLIT(A35, ",")</f>
        <v>2.6GHz</v>
      </c>
      <c r="N35" t="str">
        <v>23</v>
      </c>
      <c r="O35" t="str">
        <v>1200</v>
      </c>
      <c r="P35" t="str">
        <v>1.5</v>
      </c>
      <c r="Q35" t="str">
        <v>10</v>
      </c>
      <c r="R35" t="str">
        <v>0.000502</v>
      </c>
      <c r="S35" t="str">
        <v>0</v>
      </c>
      <c r="T35" t="str">
        <v>0</v>
      </c>
      <c r="U35" t="str">
        <v>0.444401</v>
      </c>
    </row>
    <row r="36" spans="1:21" x14ac:dyDescent="0.35">
      <c r="A36" t="s">
        <v>49</v>
      </c>
      <c r="M36" t="str" cm="1">
        <f t="array" ref="M36:U36">_xlfn.TEXTSPLIT(A36, ",")</f>
        <v>2.6GHz</v>
      </c>
      <c r="N36" t="str">
        <v>23</v>
      </c>
      <c r="O36" t="str">
        <v>1200</v>
      </c>
      <c r="P36" t="str">
        <v>1.5</v>
      </c>
      <c r="Q36" t="str">
        <v>30</v>
      </c>
      <c r="R36" t="str">
        <v>0.000502</v>
      </c>
      <c r="S36" t="str">
        <v>0</v>
      </c>
      <c r="T36" t="str">
        <v>0</v>
      </c>
      <c r="U36" t="str">
        <v>0.444401</v>
      </c>
    </row>
    <row r="37" spans="1:21" x14ac:dyDescent="0.35">
      <c r="A37" t="s">
        <v>50</v>
      </c>
      <c r="M37" t="str" cm="1">
        <f t="array" ref="M37:U37">_xlfn.TEXTSPLIT(A37, ",")</f>
        <v>2.6GHz</v>
      </c>
      <c r="N37" t="str">
        <v>23</v>
      </c>
      <c r="O37" t="str">
        <v>1200</v>
      </c>
      <c r="P37" t="str">
        <v>1.5</v>
      </c>
      <c r="Q37" t="str">
        <v>60</v>
      </c>
      <c r="R37" t="str">
        <v>0.000502</v>
      </c>
      <c r="S37" t="str">
        <v>0</v>
      </c>
      <c r="T37" t="str">
        <v>0</v>
      </c>
      <c r="U37" t="str">
        <v>0.444401</v>
      </c>
    </row>
    <row r="38" spans="1:21" x14ac:dyDescent="0.35">
      <c r="A38" t="s">
        <v>51</v>
      </c>
      <c r="M38" t="str" cm="1">
        <f t="array" ref="M38:U38">_xlfn.TEXTSPLIT(A38, ",")</f>
        <v>2.6GHz</v>
      </c>
      <c r="N38" t="str">
        <v>23</v>
      </c>
      <c r="O38" t="str">
        <v>1200</v>
      </c>
      <c r="P38" t="str">
        <v>20</v>
      </c>
      <c r="Q38" t="str">
        <v>0</v>
      </c>
      <c r="R38" t="str">
        <v>0.000502</v>
      </c>
      <c r="S38" t="str">
        <v>0</v>
      </c>
      <c r="T38" t="str">
        <v>0</v>
      </c>
      <c r="U38" t="str">
        <v>0.444401</v>
      </c>
    </row>
    <row r="39" spans="1:21" x14ac:dyDescent="0.35">
      <c r="A39" t="s">
        <v>52</v>
      </c>
      <c r="M39" t="str" cm="1">
        <f t="array" ref="M39:U39">_xlfn.TEXTSPLIT(A39, ",")</f>
        <v>2.6GHz</v>
      </c>
      <c r="N39" t="str">
        <v>23</v>
      </c>
      <c r="O39" t="str">
        <v>1200</v>
      </c>
      <c r="P39" t="str">
        <v>20</v>
      </c>
      <c r="Q39" t="str">
        <v>10</v>
      </c>
      <c r="R39" t="str">
        <v>0.000502</v>
      </c>
      <c r="S39" t="str">
        <v>0</v>
      </c>
      <c r="T39" t="str">
        <v>0</v>
      </c>
      <c r="U39" t="str">
        <v>0.444401</v>
      </c>
    </row>
    <row r="40" spans="1:21" x14ac:dyDescent="0.35">
      <c r="A40" t="s">
        <v>53</v>
      </c>
      <c r="M40" t="str" cm="1">
        <f t="array" ref="M40:U40">_xlfn.TEXTSPLIT(A40, ",")</f>
        <v>2.6GHz</v>
      </c>
      <c r="N40" t="str">
        <v>23</v>
      </c>
      <c r="O40" t="str">
        <v>1200</v>
      </c>
      <c r="P40" t="str">
        <v>20</v>
      </c>
      <c r="Q40" t="str">
        <v>30</v>
      </c>
      <c r="R40" t="str">
        <v>0.000502</v>
      </c>
      <c r="S40" t="str">
        <v>0</v>
      </c>
      <c r="T40" t="str">
        <v>0</v>
      </c>
      <c r="U40" t="str">
        <v>0.444401</v>
      </c>
    </row>
    <row r="41" spans="1:21" x14ac:dyDescent="0.35">
      <c r="A41" t="s">
        <v>54</v>
      </c>
      <c r="M41" t="str" cm="1">
        <f t="array" ref="M41:U41">_xlfn.TEXTSPLIT(A41, ",")</f>
        <v>2.6GHz</v>
      </c>
      <c r="N41" t="str">
        <v>23</v>
      </c>
      <c r="O41" t="str">
        <v>1200</v>
      </c>
      <c r="P41" t="str">
        <v>20</v>
      </c>
      <c r="Q41" t="str">
        <v>60</v>
      </c>
      <c r="R41" t="str">
        <v>0.000502</v>
      </c>
      <c r="S41" t="str">
        <v>0</v>
      </c>
      <c r="T41" t="str">
        <v>0</v>
      </c>
      <c r="U41" t="str">
        <v>0.444401</v>
      </c>
    </row>
    <row r="42" spans="1:21" x14ac:dyDescent="0.35">
      <c r="A42" t="s">
        <v>55</v>
      </c>
      <c r="M42" t="str" cm="1">
        <f t="array" ref="M42:U42">_xlfn.TEXTSPLIT(A42, ",")</f>
        <v>2.6GHz</v>
      </c>
      <c r="N42" t="str">
        <v>23</v>
      </c>
      <c r="O42" t="str">
        <v>1200</v>
      </c>
      <c r="P42" t="str">
        <v>50</v>
      </c>
      <c r="Q42" t="str">
        <v>0</v>
      </c>
      <c r="R42" t="str">
        <v>0.000502</v>
      </c>
      <c r="S42" t="str">
        <v>0</v>
      </c>
      <c r="T42" t="str">
        <v>0</v>
      </c>
      <c r="U42" t="str">
        <v>0.444401</v>
      </c>
    </row>
    <row r="43" spans="1:21" x14ac:dyDescent="0.35">
      <c r="A43" t="s">
        <v>56</v>
      </c>
      <c r="M43" t="str" cm="1">
        <f t="array" ref="M43:U43">_xlfn.TEXTSPLIT(A43, ",")</f>
        <v>2.6GHz</v>
      </c>
      <c r="N43" t="str">
        <v>23</v>
      </c>
      <c r="O43" t="str">
        <v>1200</v>
      </c>
      <c r="P43" t="str">
        <v>50</v>
      </c>
      <c r="Q43" t="str">
        <v>10</v>
      </c>
      <c r="R43" t="str">
        <v>0.000502</v>
      </c>
      <c r="S43" t="str">
        <v>0</v>
      </c>
      <c r="T43" t="str">
        <v>0</v>
      </c>
      <c r="U43" t="str">
        <v>0.444401</v>
      </c>
    </row>
    <row r="44" spans="1:21" x14ac:dyDescent="0.35">
      <c r="A44" t="s">
        <v>57</v>
      </c>
      <c r="M44" t="str" cm="1">
        <f t="array" ref="M44:U44">_xlfn.TEXTSPLIT(A44, ",")</f>
        <v>2.6GHz</v>
      </c>
      <c r="N44" t="str">
        <v>23</v>
      </c>
      <c r="O44" t="str">
        <v>1200</v>
      </c>
      <c r="P44" t="str">
        <v>50</v>
      </c>
      <c r="Q44" t="str">
        <v>30</v>
      </c>
      <c r="R44" t="str">
        <v>0.000502</v>
      </c>
      <c r="S44" t="str">
        <v>0</v>
      </c>
      <c r="T44" t="str">
        <v>0</v>
      </c>
      <c r="U44" t="str">
        <v>0.444401</v>
      </c>
    </row>
    <row r="45" spans="1:21" x14ac:dyDescent="0.35">
      <c r="A45" t="s">
        <v>58</v>
      </c>
      <c r="M45" t="str" cm="1">
        <f t="array" ref="M45:U45">_xlfn.TEXTSPLIT(A45, ",")</f>
        <v>2.6GHz</v>
      </c>
      <c r="N45" t="str">
        <v>23</v>
      </c>
      <c r="O45" t="str">
        <v>1200</v>
      </c>
      <c r="P45" t="str">
        <v>50</v>
      </c>
      <c r="Q45" t="str">
        <v>60</v>
      </c>
      <c r="R45" t="str">
        <v>0.000502</v>
      </c>
      <c r="S45" t="str">
        <v>0</v>
      </c>
      <c r="T45" t="str">
        <v>0</v>
      </c>
      <c r="U45" t="str">
        <v>0.444401</v>
      </c>
    </row>
    <row r="46" spans="1:21" x14ac:dyDescent="0.35">
      <c r="A46" t="s">
        <v>59</v>
      </c>
      <c r="M46" t="str" cm="1">
        <f t="array" ref="M46:U46">_xlfn.TEXTSPLIT(A46, ",")</f>
        <v>2.6GHz</v>
      </c>
      <c r="N46" t="str">
        <v>23</v>
      </c>
      <c r="O46" t="str">
        <v>1200</v>
      </c>
      <c r="P46" t="str">
        <v>100</v>
      </c>
      <c r="Q46" t="str">
        <v>0</v>
      </c>
      <c r="R46" t="str">
        <v>0.000502</v>
      </c>
      <c r="S46" t="str">
        <v>0</v>
      </c>
      <c r="T46" t="str">
        <v>0</v>
      </c>
      <c r="U46" t="str">
        <v>0.444401</v>
      </c>
    </row>
    <row r="47" spans="1:21" x14ac:dyDescent="0.35">
      <c r="A47" t="s">
        <v>60</v>
      </c>
      <c r="M47" t="str" cm="1">
        <f t="array" ref="M47:U47">_xlfn.TEXTSPLIT(A47, ",")</f>
        <v>2.6GHz</v>
      </c>
      <c r="N47" t="str">
        <v>23</v>
      </c>
      <c r="O47" t="str">
        <v>1200</v>
      </c>
      <c r="P47" t="str">
        <v>100</v>
      </c>
      <c r="Q47" t="str">
        <v>10</v>
      </c>
      <c r="R47" t="str">
        <v>0.000502</v>
      </c>
      <c r="S47" t="str">
        <v>0</v>
      </c>
      <c r="T47" t="str">
        <v>0</v>
      </c>
      <c r="U47" t="str">
        <v>0.444401</v>
      </c>
    </row>
    <row r="48" spans="1:21" x14ac:dyDescent="0.35">
      <c r="A48" t="s">
        <v>61</v>
      </c>
      <c r="M48" t="str" cm="1">
        <f t="array" ref="M48:U48">_xlfn.TEXTSPLIT(A48, ",")</f>
        <v>2.6GHz</v>
      </c>
      <c r="N48" t="str">
        <v>23</v>
      </c>
      <c r="O48" t="str">
        <v>1200</v>
      </c>
      <c r="P48" t="str">
        <v>100</v>
      </c>
      <c r="Q48" t="str">
        <v>30</v>
      </c>
      <c r="R48" t="str">
        <v>0.000502</v>
      </c>
      <c r="S48" t="str">
        <v>0</v>
      </c>
      <c r="T48" t="str">
        <v>0</v>
      </c>
      <c r="U48" t="str">
        <v>0.444401</v>
      </c>
    </row>
    <row r="49" spans="1:21" x14ac:dyDescent="0.35">
      <c r="A49" t="s">
        <v>62</v>
      </c>
      <c r="M49" t="str" cm="1">
        <f t="array" ref="M49:U49">_xlfn.TEXTSPLIT(A49, ",")</f>
        <v>2.6GHz</v>
      </c>
      <c r="N49" t="str">
        <v>23</v>
      </c>
      <c r="O49" t="str">
        <v>1200</v>
      </c>
      <c r="P49" t="str">
        <v>100</v>
      </c>
      <c r="Q49" t="str">
        <v>60</v>
      </c>
      <c r="R49" t="str">
        <v>0.000502</v>
      </c>
      <c r="S49" t="str">
        <v>0</v>
      </c>
      <c r="T49" t="str">
        <v>0</v>
      </c>
      <c r="U49" t="str">
        <v>0.444401</v>
      </c>
    </row>
    <row r="50" spans="1:21" x14ac:dyDescent="0.35">
      <c r="A50" t="s">
        <v>63</v>
      </c>
      <c r="M50" t="str" cm="1">
        <f t="array" ref="M50:U50">_xlfn.TEXTSPLIT(A50, ",")</f>
        <v>2.6GHz</v>
      </c>
      <c r="N50" t="str">
        <v>30</v>
      </c>
      <c r="O50" t="str">
        <v>128</v>
      </c>
      <c r="P50" t="str">
        <v>1.5</v>
      </c>
      <c r="Q50" t="str">
        <v>0</v>
      </c>
      <c r="R50" t="str">
        <v>0.000502</v>
      </c>
      <c r="S50" t="str">
        <v>0</v>
      </c>
      <c r="T50" t="str">
        <v>0</v>
      </c>
      <c r="U50" t="str">
        <v>0.0568897</v>
      </c>
    </row>
    <row r="51" spans="1:21" x14ac:dyDescent="0.35">
      <c r="A51" t="s">
        <v>64</v>
      </c>
      <c r="M51" t="str" cm="1">
        <f t="array" ref="M51:U51">_xlfn.TEXTSPLIT(A51, ",")</f>
        <v>2.6GHz</v>
      </c>
      <c r="N51" t="str">
        <v>30</v>
      </c>
      <c r="O51" t="str">
        <v>128</v>
      </c>
      <c r="P51" t="str">
        <v>1.5</v>
      </c>
      <c r="Q51" t="str">
        <v>10</v>
      </c>
      <c r="R51" t="str">
        <v>0.000502</v>
      </c>
      <c r="S51" t="str">
        <v>0</v>
      </c>
      <c r="T51" t="str">
        <v>0</v>
      </c>
      <c r="U51" t="str">
        <v>0.0568897</v>
      </c>
    </row>
    <row r="52" spans="1:21" x14ac:dyDescent="0.35">
      <c r="A52" t="s">
        <v>65</v>
      </c>
      <c r="M52" t="str" cm="1">
        <f t="array" ref="M52:U52">_xlfn.TEXTSPLIT(A52, ",")</f>
        <v>2.6GHz</v>
      </c>
      <c r="N52" t="str">
        <v>30</v>
      </c>
      <c r="O52" t="str">
        <v>128</v>
      </c>
      <c r="P52" t="str">
        <v>1.5</v>
      </c>
      <c r="Q52" t="str">
        <v>30</v>
      </c>
      <c r="R52" t="str">
        <v>0.000502</v>
      </c>
      <c r="S52" t="str">
        <v>0</v>
      </c>
      <c r="T52" t="str">
        <v>0</v>
      </c>
      <c r="U52" t="str">
        <v>0.0568897</v>
      </c>
    </row>
    <row r="53" spans="1:21" x14ac:dyDescent="0.35">
      <c r="A53" t="s">
        <v>66</v>
      </c>
      <c r="M53" t="str" cm="1">
        <f t="array" ref="M53:U53">_xlfn.TEXTSPLIT(A53, ",")</f>
        <v>2.6GHz</v>
      </c>
      <c r="N53" t="str">
        <v>30</v>
      </c>
      <c r="O53" t="str">
        <v>128</v>
      </c>
      <c r="P53" t="str">
        <v>1.5</v>
      </c>
      <c r="Q53" t="str">
        <v>60</v>
      </c>
      <c r="R53" t="str">
        <v>0.000502</v>
      </c>
      <c r="S53" t="str">
        <v>0</v>
      </c>
      <c r="T53" t="str">
        <v>0</v>
      </c>
      <c r="U53" t="str">
        <v>0.0568897</v>
      </c>
    </row>
    <row r="54" spans="1:21" x14ac:dyDescent="0.35">
      <c r="A54" t="s">
        <v>67</v>
      </c>
      <c r="M54" t="str" cm="1">
        <f t="array" ref="M54:U54">_xlfn.TEXTSPLIT(A54, ",")</f>
        <v>2.6GHz</v>
      </c>
      <c r="N54" t="str">
        <v>30</v>
      </c>
      <c r="O54" t="str">
        <v>128</v>
      </c>
      <c r="P54" t="str">
        <v>20</v>
      </c>
      <c r="Q54" t="str">
        <v>0</v>
      </c>
      <c r="R54" t="str">
        <v>0.000502</v>
      </c>
      <c r="S54" t="str">
        <v>0</v>
      </c>
      <c r="T54" t="str">
        <v>0</v>
      </c>
      <c r="U54" t="str">
        <v>0.0568897</v>
      </c>
    </row>
    <row r="55" spans="1:21" x14ac:dyDescent="0.35">
      <c r="A55" t="s">
        <v>68</v>
      </c>
      <c r="M55" t="str" cm="1">
        <f t="array" ref="M55:U55">_xlfn.TEXTSPLIT(A55, ",")</f>
        <v>2.6GHz</v>
      </c>
      <c r="N55" t="str">
        <v>30</v>
      </c>
      <c r="O55" t="str">
        <v>128</v>
      </c>
      <c r="P55" t="str">
        <v>20</v>
      </c>
      <c r="Q55" t="str">
        <v>10</v>
      </c>
      <c r="R55" t="str">
        <v>0.000502</v>
      </c>
      <c r="S55" t="str">
        <v>0</v>
      </c>
      <c r="T55" t="str">
        <v>0</v>
      </c>
      <c r="U55" t="str">
        <v>0.0568897</v>
      </c>
    </row>
    <row r="56" spans="1:21" x14ac:dyDescent="0.35">
      <c r="A56" t="s">
        <v>69</v>
      </c>
      <c r="M56" t="str" cm="1">
        <f t="array" ref="M56:U56">_xlfn.TEXTSPLIT(A56, ",")</f>
        <v>2.6GHz</v>
      </c>
      <c r="N56" t="str">
        <v>30</v>
      </c>
      <c r="O56" t="str">
        <v>128</v>
      </c>
      <c r="P56" t="str">
        <v>20</v>
      </c>
      <c r="Q56" t="str">
        <v>30</v>
      </c>
      <c r="R56" t="str">
        <v>0.000502</v>
      </c>
      <c r="S56" t="str">
        <v>0</v>
      </c>
      <c r="T56" t="str">
        <v>0</v>
      </c>
      <c r="U56" t="str">
        <v>0.0568897</v>
      </c>
    </row>
    <row r="57" spans="1:21" x14ac:dyDescent="0.35">
      <c r="A57" t="s">
        <v>70</v>
      </c>
      <c r="M57" t="str" cm="1">
        <f t="array" ref="M57:U57">_xlfn.TEXTSPLIT(A57, ",")</f>
        <v>2.6GHz</v>
      </c>
      <c r="N57" t="str">
        <v>30</v>
      </c>
      <c r="O57" t="str">
        <v>128</v>
      </c>
      <c r="P57" t="str">
        <v>20</v>
      </c>
      <c r="Q57" t="str">
        <v>60</v>
      </c>
      <c r="R57" t="str">
        <v>0.000502</v>
      </c>
      <c r="S57" t="str">
        <v>0</v>
      </c>
      <c r="T57" t="str">
        <v>0</v>
      </c>
      <c r="U57" t="str">
        <v>0.0568897</v>
      </c>
    </row>
    <row r="58" spans="1:21" x14ac:dyDescent="0.35">
      <c r="A58" t="s">
        <v>71</v>
      </c>
      <c r="M58" t="str" cm="1">
        <f t="array" ref="M58:U58">_xlfn.TEXTSPLIT(A58, ",")</f>
        <v>2.6GHz</v>
      </c>
      <c r="N58" t="str">
        <v>30</v>
      </c>
      <c r="O58" t="str">
        <v>128</v>
      </c>
      <c r="P58" t="str">
        <v>50</v>
      </c>
      <c r="Q58" t="str">
        <v>0</v>
      </c>
      <c r="R58" t="str">
        <v>0.000502</v>
      </c>
      <c r="S58" t="str">
        <v>0</v>
      </c>
      <c r="T58" t="str">
        <v>0</v>
      </c>
      <c r="U58" t="str">
        <v>0.0568897</v>
      </c>
    </row>
    <row r="59" spans="1:21" x14ac:dyDescent="0.35">
      <c r="A59" t="s">
        <v>72</v>
      </c>
      <c r="M59" t="str" cm="1">
        <f t="array" ref="M59:U59">_xlfn.TEXTSPLIT(A59, ",")</f>
        <v>2.6GHz</v>
      </c>
      <c r="N59" t="str">
        <v>30</v>
      </c>
      <c r="O59" t="str">
        <v>128</v>
      </c>
      <c r="P59" t="str">
        <v>50</v>
      </c>
      <c r="Q59" t="str">
        <v>10</v>
      </c>
      <c r="R59" t="str">
        <v>0.000502</v>
      </c>
      <c r="S59" t="str">
        <v>0</v>
      </c>
      <c r="T59" t="str">
        <v>0</v>
      </c>
      <c r="U59" t="str">
        <v>0.0568897</v>
      </c>
    </row>
    <row r="60" spans="1:21" x14ac:dyDescent="0.35">
      <c r="A60" t="s">
        <v>73</v>
      </c>
      <c r="M60" t="str" cm="1">
        <f t="array" ref="M60:U60">_xlfn.TEXTSPLIT(A60, ",")</f>
        <v>2.6GHz</v>
      </c>
      <c r="N60" t="str">
        <v>30</v>
      </c>
      <c r="O60" t="str">
        <v>128</v>
      </c>
      <c r="P60" t="str">
        <v>50</v>
      </c>
      <c r="Q60" t="str">
        <v>30</v>
      </c>
      <c r="R60" t="str">
        <v>0.000502</v>
      </c>
      <c r="S60" t="str">
        <v>0</v>
      </c>
      <c r="T60" t="str">
        <v>0</v>
      </c>
      <c r="U60" t="str">
        <v>0.0568897</v>
      </c>
    </row>
    <row r="61" spans="1:21" x14ac:dyDescent="0.35">
      <c r="A61" t="s">
        <v>74</v>
      </c>
      <c r="M61" t="str" cm="1">
        <f t="array" ref="M61:U61">_xlfn.TEXTSPLIT(A61, ",")</f>
        <v>2.6GHz</v>
      </c>
      <c r="N61" t="str">
        <v>30</v>
      </c>
      <c r="O61" t="str">
        <v>128</v>
      </c>
      <c r="P61" t="str">
        <v>50</v>
      </c>
      <c r="Q61" t="str">
        <v>60</v>
      </c>
      <c r="R61" t="str">
        <v>0.000502</v>
      </c>
      <c r="S61" t="str">
        <v>0</v>
      </c>
      <c r="T61" t="str">
        <v>0</v>
      </c>
      <c r="U61" t="str">
        <v>0.0568897</v>
      </c>
    </row>
    <row r="62" spans="1:21" x14ac:dyDescent="0.35">
      <c r="A62" t="s">
        <v>75</v>
      </c>
      <c r="M62" t="str" cm="1">
        <f t="array" ref="M62:U62">_xlfn.TEXTSPLIT(A62, ",")</f>
        <v>2.6GHz</v>
      </c>
      <c r="N62" t="str">
        <v>30</v>
      </c>
      <c r="O62" t="str">
        <v>128</v>
      </c>
      <c r="P62" t="str">
        <v>100</v>
      </c>
      <c r="Q62" t="str">
        <v>0</v>
      </c>
      <c r="R62" t="str">
        <v>0.000502</v>
      </c>
      <c r="S62" t="str">
        <v>0</v>
      </c>
      <c r="T62" t="str">
        <v>0</v>
      </c>
      <c r="U62" t="str">
        <v>0.0568897</v>
      </c>
    </row>
    <row r="63" spans="1:21" x14ac:dyDescent="0.35">
      <c r="A63" t="s">
        <v>76</v>
      </c>
      <c r="M63" t="str" cm="1">
        <f t="array" ref="M63:U63">_xlfn.TEXTSPLIT(A63, ",")</f>
        <v>2.6GHz</v>
      </c>
      <c r="N63" t="str">
        <v>30</v>
      </c>
      <c r="O63" t="str">
        <v>128</v>
      </c>
      <c r="P63" t="str">
        <v>100</v>
      </c>
      <c r="Q63" t="str">
        <v>10</v>
      </c>
      <c r="R63" t="str">
        <v>0.000502</v>
      </c>
      <c r="S63" t="str">
        <v>0</v>
      </c>
      <c r="T63" t="str">
        <v>0</v>
      </c>
      <c r="U63" t="str">
        <v>0.0568897</v>
      </c>
    </row>
    <row r="64" spans="1:21" x14ac:dyDescent="0.35">
      <c r="A64" t="s">
        <v>77</v>
      </c>
      <c r="M64" t="str" cm="1">
        <f t="array" ref="M64:U64">_xlfn.TEXTSPLIT(A64, ",")</f>
        <v>2.6GHz</v>
      </c>
      <c r="N64" t="str">
        <v>30</v>
      </c>
      <c r="O64" t="str">
        <v>128</v>
      </c>
      <c r="P64" t="str">
        <v>100</v>
      </c>
      <c r="Q64" t="str">
        <v>30</v>
      </c>
      <c r="R64" t="str">
        <v>0.000502</v>
      </c>
      <c r="S64" t="str">
        <v>0</v>
      </c>
      <c r="T64" t="str">
        <v>0</v>
      </c>
      <c r="U64" t="str">
        <v>0.0568897</v>
      </c>
    </row>
    <row r="65" spans="1:21" x14ac:dyDescent="0.35">
      <c r="A65" t="s">
        <v>78</v>
      </c>
      <c r="M65" t="str" cm="1">
        <f t="array" ref="M65:U65">_xlfn.TEXTSPLIT(A65, ",")</f>
        <v>2.6GHz</v>
      </c>
      <c r="N65" t="str">
        <v>30</v>
      </c>
      <c r="O65" t="str">
        <v>128</v>
      </c>
      <c r="P65" t="str">
        <v>100</v>
      </c>
      <c r="Q65" t="str">
        <v>60</v>
      </c>
      <c r="R65" t="str">
        <v>0.000502</v>
      </c>
      <c r="S65" t="str">
        <v>0</v>
      </c>
      <c r="T65" t="str">
        <v>0</v>
      </c>
      <c r="U65" t="str">
        <v>0.0568897</v>
      </c>
    </row>
    <row r="66" spans="1:21" x14ac:dyDescent="0.35">
      <c r="A66" t="s">
        <v>79</v>
      </c>
      <c r="M66" t="str" cm="1">
        <f t="array" ref="M66:U66">_xlfn.TEXTSPLIT(A66, ",")</f>
        <v>2.6GHz</v>
      </c>
      <c r="N66" t="str">
        <v>30</v>
      </c>
      <c r="O66" t="str">
        <v>512</v>
      </c>
      <c r="P66" t="str">
        <v>1.5</v>
      </c>
      <c r="Q66" t="str">
        <v>0</v>
      </c>
      <c r="R66" t="str">
        <v>0.000502</v>
      </c>
      <c r="S66" t="str">
        <v>0</v>
      </c>
      <c r="T66" t="str">
        <v>0</v>
      </c>
      <c r="U66" t="str">
        <v>0.1957</v>
      </c>
    </row>
    <row r="67" spans="1:21" x14ac:dyDescent="0.35">
      <c r="A67" t="s">
        <v>80</v>
      </c>
      <c r="M67" t="str" cm="1">
        <f t="array" ref="M67:U67">_xlfn.TEXTSPLIT(A67, ",")</f>
        <v>2.6GHz</v>
      </c>
      <c r="N67" t="str">
        <v>30</v>
      </c>
      <c r="O67" t="str">
        <v>512</v>
      </c>
      <c r="P67" t="str">
        <v>1.5</v>
      </c>
      <c r="Q67" t="str">
        <v>10</v>
      </c>
      <c r="R67" t="str">
        <v>0.000502</v>
      </c>
      <c r="S67" t="str">
        <v>0</v>
      </c>
      <c r="T67" t="str">
        <v>0</v>
      </c>
      <c r="U67" t="str">
        <v>0.1957</v>
      </c>
    </row>
    <row r="68" spans="1:21" x14ac:dyDescent="0.35">
      <c r="A68" t="s">
        <v>81</v>
      </c>
      <c r="M68" t="str" cm="1">
        <f t="array" ref="M68:U68">_xlfn.TEXTSPLIT(A68, ",")</f>
        <v>2.6GHz</v>
      </c>
      <c r="N68" t="str">
        <v>30</v>
      </c>
      <c r="O68" t="str">
        <v>512</v>
      </c>
      <c r="P68" t="str">
        <v>1.5</v>
      </c>
      <c r="Q68" t="str">
        <v>30</v>
      </c>
      <c r="R68" t="str">
        <v>0.000502</v>
      </c>
      <c r="S68" t="str">
        <v>0</v>
      </c>
      <c r="T68" t="str">
        <v>0</v>
      </c>
      <c r="U68" t="str">
        <v>0.1957</v>
      </c>
    </row>
    <row r="69" spans="1:21" x14ac:dyDescent="0.35">
      <c r="A69" t="s">
        <v>82</v>
      </c>
      <c r="M69" t="str" cm="1">
        <f t="array" ref="M69:U69">_xlfn.TEXTSPLIT(A69, ",")</f>
        <v>2.6GHz</v>
      </c>
      <c r="N69" t="str">
        <v>30</v>
      </c>
      <c r="O69" t="str">
        <v>512</v>
      </c>
      <c r="P69" t="str">
        <v>1.5</v>
      </c>
      <c r="Q69" t="str">
        <v>60</v>
      </c>
      <c r="R69" t="str">
        <v>0.000502</v>
      </c>
      <c r="S69" t="str">
        <v>0</v>
      </c>
      <c r="T69" t="str">
        <v>0</v>
      </c>
      <c r="U69" t="str">
        <v>0.1957</v>
      </c>
    </row>
    <row r="70" spans="1:21" x14ac:dyDescent="0.35">
      <c r="A70" t="s">
        <v>83</v>
      </c>
      <c r="M70" t="str" cm="1">
        <f t="array" ref="M70:U70">_xlfn.TEXTSPLIT(A70, ",")</f>
        <v>2.6GHz</v>
      </c>
      <c r="N70" t="str">
        <v>30</v>
      </c>
      <c r="O70" t="str">
        <v>512</v>
      </c>
      <c r="P70" t="str">
        <v>20</v>
      </c>
      <c r="Q70" t="str">
        <v>0</v>
      </c>
      <c r="R70" t="str">
        <v>0.000502</v>
      </c>
      <c r="S70" t="str">
        <v>0</v>
      </c>
      <c r="T70" t="str">
        <v>0</v>
      </c>
      <c r="U70" t="str">
        <v>0.1957</v>
      </c>
    </row>
    <row r="71" spans="1:21" x14ac:dyDescent="0.35">
      <c r="A71" t="s">
        <v>84</v>
      </c>
      <c r="M71" t="str" cm="1">
        <f t="array" ref="M71:U71">_xlfn.TEXTSPLIT(A71, ",")</f>
        <v>2.6GHz</v>
      </c>
      <c r="N71" t="str">
        <v>30</v>
      </c>
      <c r="O71" t="str">
        <v>512</v>
      </c>
      <c r="P71" t="str">
        <v>20</v>
      </c>
      <c r="Q71" t="str">
        <v>10</v>
      </c>
      <c r="R71" t="str">
        <v>0.000502</v>
      </c>
      <c r="S71" t="str">
        <v>0</v>
      </c>
      <c r="T71" t="str">
        <v>0</v>
      </c>
      <c r="U71" t="str">
        <v>0.1957</v>
      </c>
    </row>
    <row r="72" spans="1:21" x14ac:dyDescent="0.35">
      <c r="A72" t="s">
        <v>85</v>
      </c>
      <c r="M72" t="str" cm="1">
        <f t="array" ref="M72:U72">_xlfn.TEXTSPLIT(A72, ",")</f>
        <v>2.6GHz</v>
      </c>
      <c r="N72" t="str">
        <v>30</v>
      </c>
      <c r="O72" t="str">
        <v>512</v>
      </c>
      <c r="P72" t="str">
        <v>20</v>
      </c>
      <c r="Q72" t="str">
        <v>30</v>
      </c>
      <c r="R72" t="str">
        <v>0.000502</v>
      </c>
      <c r="S72" t="str">
        <v>0</v>
      </c>
      <c r="T72" t="str">
        <v>0</v>
      </c>
      <c r="U72" t="str">
        <v>0.1957</v>
      </c>
    </row>
    <row r="73" spans="1:21" x14ac:dyDescent="0.35">
      <c r="A73" t="s">
        <v>86</v>
      </c>
      <c r="M73" t="str" cm="1">
        <f t="array" ref="M73:U73">_xlfn.TEXTSPLIT(A73, ",")</f>
        <v>2.6GHz</v>
      </c>
      <c r="N73" t="str">
        <v>30</v>
      </c>
      <c r="O73" t="str">
        <v>512</v>
      </c>
      <c r="P73" t="str">
        <v>20</v>
      </c>
      <c r="Q73" t="str">
        <v>60</v>
      </c>
      <c r="R73" t="str">
        <v>0.000502</v>
      </c>
      <c r="S73" t="str">
        <v>0</v>
      </c>
      <c r="T73" t="str">
        <v>0</v>
      </c>
      <c r="U73" t="str">
        <v>0.1957</v>
      </c>
    </row>
    <row r="74" spans="1:21" x14ac:dyDescent="0.35">
      <c r="A74" t="s">
        <v>87</v>
      </c>
      <c r="M74" t="str" cm="1">
        <f t="array" ref="M74:U74">_xlfn.TEXTSPLIT(A74, ",")</f>
        <v>2.6GHz</v>
      </c>
      <c r="N74" t="str">
        <v>30</v>
      </c>
      <c r="O74" t="str">
        <v>512</v>
      </c>
      <c r="P74" t="str">
        <v>50</v>
      </c>
      <c r="Q74" t="str">
        <v>0</v>
      </c>
      <c r="R74" t="str">
        <v>0.000502</v>
      </c>
      <c r="S74" t="str">
        <v>0</v>
      </c>
      <c r="T74" t="str">
        <v>0</v>
      </c>
      <c r="U74" t="str">
        <v>0.1957</v>
      </c>
    </row>
    <row r="75" spans="1:21" x14ac:dyDescent="0.35">
      <c r="A75" t="s">
        <v>88</v>
      </c>
      <c r="M75" t="str" cm="1">
        <f t="array" ref="M75:U75">_xlfn.TEXTSPLIT(A75, ",")</f>
        <v>2.6GHz</v>
      </c>
      <c r="N75" t="str">
        <v>30</v>
      </c>
      <c r="O75" t="str">
        <v>512</v>
      </c>
      <c r="P75" t="str">
        <v>50</v>
      </c>
      <c r="Q75" t="str">
        <v>10</v>
      </c>
      <c r="R75" t="str">
        <v>0.000502</v>
      </c>
      <c r="S75" t="str">
        <v>0</v>
      </c>
      <c r="T75" t="str">
        <v>0</v>
      </c>
      <c r="U75" t="str">
        <v>0.1957</v>
      </c>
    </row>
    <row r="76" spans="1:21" x14ac:dyDescent="0.35">
      <c r="A76" t="s">
        <v>89</v>
      </c>
      <c r="M76" t="str" cm="1">
        <f t="array" ref="M76:U76">_xlfn.TEXTSPLIT(A76, ",")</f>
        <v>2.6GHz</v>
      </c>
      <c r="N76" t="str">
        <v>30</v>
      </c>
      <c r="O76" t="str">
        <v>512</v>
      </c>
      <c r="P76" t="str">
        <v>50</v>
      </c>
      <c r="Q76" t="str">
        <v>30</v>
      </c>
      <c r="R76" t="str">
        <v>0.000502</v>
      </c>
      <c r="S76" t="str">
        <v>0</v>
      </c>
      <c r="T76" t="str">
        <v>0</v>
      </c>
      <c r="U76" t="str">
        <v>0.1957</v>
      </c>
    </row>
    <row r="77" spans="1:21" x14ac:dyDescent="0.35">
      <c r="A77" t="s">
        <v>90</v>
      </c>
      <c r="M77" t="str" cm="1">
        <f t="array" ref="M77:U77">_xlfn.TEXTSPLIT(A77, ",")</f>
        <v>2.6GHz</v>
      </c>
      <c r="N77" t="str">
        <v>30</v>
      </c>
      <c r="O77" t="str">
        <v>512</v>
      </c>
      <c r="P77" t="str">
        <v>50</v>
      </c>
      <c r="Q77" t="str">
        <v>60</v>
      </c>
      <c r="R77" t="str">
        <v>0.000502</v>
      </c>
      <c r="S77" t="str">
        <v>0</v>
      </c>
      <c r="T77" t="str">
        <v>0</v>
      </c>
      <c r="U77" t="str">
        <v>0.1957</v>
      </c>
    </row>
    <row r="78" spans="1:21" x14ac:dyDescent="0.35">
      <c r="A78" t="s">
        <v>91</v>
      </c>
      <c r="M78" t="str" cm="1">
        <f t="array" ref="M78:U78">_xlfn.TEXTSPLIT(A78, ",")</f>
        <v>2.6GHz</v>
      </c>
      <c r="N78" t="str">
        <v>30</v>
      </c>
      <c r="O78" t="str">
        <v>512</v>
      </c>
      <c r="P78" t="str">
        <v>100</v>
      </c>
      <c r="Q78" t="str">
        <v>0</v>
      </c>
      <c r="R78" t="str">
        <v>0.000502</v>
      </c>
      <c r="S78" t="str">
        <v>0</v>
      </c>
      <c r="T78" t="str">
        <v>0</v>
      </c>
      <c r="U78" t="str">
        <v>0.1957</v>
      </c>
    </row>
    <row r="79" spans="1:21" x14ac:dyDescent="0.35">
      <c r="A79" t="s">
        <v>92</v>
      </c>
      <c r="M79" t="str" cm="1">
        <f t="array" ref="M79:U79">_xlfn.TEXTSPLIT(A79, ",")</f>
        <v>2.6GHz</v>
      </c>
      <c r="N79" t="str">
        <v>30</v>
      </c>
      <c r="O79" t="str">
        <v>512</v>
      </c>
      <c r="P79" t="str">
        <v>100</v>
      </c>
      <c r="Q79" t="str">
        <v>10</v>
      </c>
      <c r="R79" t="str">
        <v>0.000502</v>
      </c>
      <c r="S79" t="str">
        <v>0</v>
      </c>
      <c r="T79" t="str">
        <v>0</v>
      </c>
      <c r="U79" t="str">
        <v>0.1957</v>
      </c>
    </row>
    <row r="80" spans="1:21" x14ac:dyDescent="0.35">
      <c r="A80" t="s">
        <v>93</v>
      </c>
      <c r="M80" t="str" cm="1">
        <f t="array" ref="M80:U80">_xlfn.TEXTSPLIT(A80, ",")</f>
        <v>2.6GHz</v>
      </c>
      <c r="N80" t="str">
        <v>30</v>
      </c>
      <c r="O80" t="str">
        <v>512</v>
      </c>
      <c r="P80" t="str">
        <v>100</v>
      </c>
      <c r="Q80" t="str">
        <v>30</v>
      </c>
      <c r="R80" t="str">
        <v>0.000502</v>
      </c>
      <c r="S80" t="str">
        <v>0</v>
      </c>
      <c r="T80" t="str">
        <v>0</v>
      </c>
      <c r="U80" t="str">
        <v>0.1957</v>
      </c>
    </row>
    <row r="81" spans="1:21" x14ac:dyDescent="0.35">
      <c r="A81" t="s">
        <v>94</v>
      </c>
      <c r="M81" t="str" cm="1">
        <f t="array" ref="M81:U81">_xlfn.TEXTSPLIT(A81, ",")</f>
        <v>2.6GHz</v>
      </c>
      <c r="N81" t="str">
        <v>30</v>
      </c>
      <c r="O81" t="str">
        <v>512</v>
      </c>
      <c r="P81" t="str">
        <v>100</v>
      </c>
      <c r="Q81" t="str">
        <v>60</v>
      </c>
      <c r="R81" t="str">
        <v>0.000502</v>
      </c>
      <c r="S81" t="str">
        <v>0</v>
      </c>
      <c r="T81" t="str">
        <v>0</v>
      </c>
      <c r="U81" t="str">
        <v>0.1957</v>
      </c>
    </row>
    <row r="82" spans="1:21" x14ac:dyDescent="0.35">
      <c r="A82" t="s">
        <v>95</v>
      </c>
      <c r="M82" t="str" cm="1">
        <f t="array" ref="M82:U82">_xlfn.TEXTSPLIT(A82, ",")</f>
        <v>2.6GHz</v>
      </c>
      <c r="N82" t="str">
        <v>30</v>
      </c>
      <c r="O82" t="str">
        <v>1200</v>
      </c>
      <c r="P82" t="str">
        <v>1.5</v>
      </c>
      <c r="Q82" t="str">
        <v>0</v>
      </c>
      <c r="R82" t="str">
        <v>0.000502</v>
      </c>
      <c r="S82" t="str">
        <v>0</v>
      </c>
      <c r="T82" t="str">
        <v>0</v>
      </c>
      <c r="U82" t="str">
        <v>0.444401</v>
      </c>
    </row>
    <row r="83" spans="1:21" x14ac:dyDescent="0.35">
      <c r="A83" t="s">
        <v>96</v>
      </c>
      <c r="M83" t="str" cm="1">
        <f t="array" ref="M83:U83">_xlfn.TEXTSPLIT(A83, ",")</f>
        <v>2.6GHz</v>
      </c>
      <c r="N83" t="str">
        <v>30</v>
      </c>
      <c r="O83" t="str">
        <v>1200</v>
      </c>
      <c r="P83" t="str">
        <v>1.5</v>
      </c>
      <c r="Q83" t="str">
        <v>10</v>
      </c>
      <c r="R83" t="str">
        <v>0.000502</v>
      </c>
      <c r="S83" t="str">
        <v>0</v>
      </c>
      <c r="T83" t="str">
        <v>0</v>
      </c>
      <c r="U83" t="str">
        <v>0.444401</v>
      </c>
    </row>
    <row r="84" spans="1:21" x14ac:dyDescent="0.35">
      <c r="A84" t="s">
        <v>97</v>
      </c>
      <c r="M84" t="str" cm="1">
        <f t="array" ref="M84:U84">_xlfn.TEXTSPLIT(A84, ",")</f>
        <v>2.6GHz</v>
      </c>
      <c r="N84" t="str">
        <v>30</v>
      </c>
      <c r="O84" t="str">
        <v>1200</v>
      </c>
      <c r="P84" t="str">
        <v>1.5</v>
      </c>
      <c r="Q84" t="str">
        <v>30</v>
      </c>
      <c r="R84" t="str">
        <v>0.000502</v>
      </c>
      <c r="S84" t="str">
        <v>0</v>
      </c>
      <c r="T84" t="str">
        <v>0</v>
      </c>
      <c r="U84" t="str">
        <v>0.444401</v>
      </c>
    </row>
    <row r="85" spans="1:21" x14ac:dyDescent="0.35">
      <c r="A85" t="s">
        <v>98</v>
      </c>
      <c r="M85" t="str" cm="1">
        <f t="array" ref="M85:U85">_xlfn.TEXTSPLIT(A85, ",")</f>
        <v>2.6GHz</v>
      </c>
      <c r="N85" t="str">
        <v>30</v>
      </c>
      <c r="O85" t="str">
        <v>1200</v>
      </c>
      <c r="P85" t="str">
        <v>1.5</v>
      </c>
      <c r="Q85" t="str">
        <v>60</v>
      </c>
      <c r="R85" t="str">
        <v>0.000502</v>
      </c>
      <c r="S85" t="str">
        <v>0</v>
      </c>
      <c r="T85" t="str">
        <v>0</v>
      </c>
      <c r="U85" t="str">
        <v>0.444401</v>
      </c>
    </row>
    <row r="86" spans="1:21" x14ac:dyDescent="0.35">
      <c r="A86" t="s">
        <v>99</v>
      </c>
      <c r="M86" t="str" cm="1">
        <f t="array" ref="M86:U86">_xlfn.TEXTSPLIT(A86, ",")</f>
        <v>2.6GHz</v>
      </c>
      <c r="N86" t="str">
        <v>30</v>
      </c>
      <c r="O86" t="str">
        <v>1200</v>
      </c>
      <c r="P86" t="str">
        <v>20</v>
      </c>
      <c r="Q86" t="str">
        <v>0</v>
      </c>
      <c r="R86" t="str">
        <v>0.000502</v>
      </c>
      <c r="S86" t="str">
        <v>0</v>
      </c>
      <c r="T86" t="str">
        <v>0</v>
      </c>
      <c r="U86" t="str">
        <v>0.444401</v>
      </c>
    </row>
    <row r="87" spans="1:21" x14ac:dyDescent="0.35">
      <c r="A87" t="s">
        <v>100</v>
      </c>
      <c r="M87" t="str" cm="1">
        <f t="array" ref="M87:U87">_xlfn.TEXTSPLIT(A87, ",")</f>
        <v>2.6GHz</v>
      </c>
      <c r="N87" t="str">
        <v>30</v>
      </c>
      <c r="O87" t="str">
        <v>1200</v>
      </c>
      <c r="P87" t="str">
        <v>20</v>
      </c>
      <c r="Q87" t="str">
        <v>10</v>
      </c>
      <c r="R87" t="str">
        <v>0.000502</v>
      </c>
      <c r="S87" t="str">
        <v>0</v>
      </c>
      <c r="T87" t="str">
        <v>0</v>
      </c>
      <c r="U87" t="str">
        <v>0.444401</v>
      </c>
    </row>
    <row r="88" spans="1:21" x14ac:dyDescent="0.35">
      <c r="A88" t="s">
        <v>101</v>
      </c>
      <c r="M88" t="str" cm="1">
        <f t="array" ref="M88:U88">_xlfn.TEXTSPLIT(A88, ",")</f>
        <v>2.6GHz</v>
      </c>
      <c r="N88" t="str">
        <v>30</v>
      </c>
      <c r="O88" t="str">
        <v>1200</v>
      </c>
      <c r="P88" t="str">
        <v>20</v>
      </c>
      <c r="Q88" t="str">
        <v>30</v>
      </c>
      <c r="R88" t="str">
        <v>0.000502</v>
      </c>
      <c r="S88" t="str">
        <v>0</v>
      </c>
      <c r="T88" t="str">
        <v>0</v>
      </c>
      <c r="U88" t="str">
        <v>0.444401</v>
      </c>
    </row>
    <row r="89" spans="1:21" x14ac:dyDescent="0.35">
      <c r="A89" t="s">
        <v>102</v>
      </c>
      <c r="M89" t="str" cm="1">
        <f t="array" ref="M89:U89">_xlfn.TEXTSPLIT(A89, ",")</f>
        <v>2.6GHz</v>
      </c>
      <c r="N89" t="str">
        <v>30</v>
      </c>
      <c r="O89" t="str">
        <v>1200</v>
      </c>
      <c r="P89" t="str">
        <v>20</v>
      </c>
      <c r="Q89" t="str">
        <v>60</v>
      </c>
      <c r="R89" t="str">
        <v>0.000502</v>
      </c>
      <c r="S89" t="str">
        <v>0</v>
      </c>
      <c r="T89" t="str">
        <v>0</v>
      </c>
      <c r="U89" t="str">
        <v>0.444401</v>
      </c>
    </row>
    <row r="90" spans="1:21" x14ac:dyDescent="0.35">
      <c r="A90" t="s">
        <v>103</v>
      </c>
      <c r="M90" t="str" cm="1">
        <f t="array" ref="M90:U90">_xlfn.TEXTSPLIT(A90, ",")</f>
        <v>2.6GHz</v>
      </c>
      <c r="N90" t="str">
        <v>30</v>
      </c>
      <c r="O90" t="str">
        <v>1200</v>
      </c>
      <c r="P90" t="str">
        <v>50</v>
      </c>
      <c r="Q90" t="str">
        <v>0</v>
      </c>
      <c r="R90" t="str">
        <v>0.000502</v>
      </c>
      <c r="S90" t="str">
        <v>0</v>
      </c>
      <c r="T90" t="str">
        <v>0</v>
      </c>
      <c r="U90" t="str">
        <v>0.444401</v>
      </c>
    </row>
    <row r="91" spans="1:21" x14ac:dyDescent="0.35">
      <c r="A91" t="s">
        <v>104</v>
      </c>
      <c r="M91" t="str" cm="1">
        <f t="array" ref="M91:U91">_xlfn.TEXTSPLIT(A91, ",")</f>
        <v>2.6GHz</v>
      </c>
      <c r="N91" t="str">
        <v>30</v>
      </c>
      <c r="O91" t="str">
        <v>1200</v>
      </c>
      <c r="P91" t="str">
        <v>50</v>
      </c>
      <c r="Q91" t="str">
        <v>10</v>
      </c>
      <c r="R91" t="str">
        <v>0.000502</v>
      </c>
      <c r="S91" t="str">
        <v>0</v>
      </c>
      <c r="T91" t="str">
        <v>0</v>
      </c>
      <c r="U91" t="str">
        <v>0.444401</v>
      </c>
    </row>
    <row r="92" spans="1:21" x14ac:dyDescent="0.35">
      <c r="A92" t="s">
        <v>105</v>
      </c>
      <c r="M92" t="str" cm="1">
        <f t="array" ref="M92:U92">_xlfn.TEXTSPLIT(A92, ",")</f>
        <v>2.6GHz</v>
      </c>
      <c r="N92" t="str">
        <v>30</v>
      </c>
      <c r="O92" t="str">
        <v>1200</v>
      </c>
      <c r="P92" t="str">
        <v>50</v>
      </c>
      <c r="Q92" t="str">
        <v>30</v>
      </c>
      <c r="R92" t="str">
        <v>0.000502</v>
      </c>
      <c r="S92" t="str">
        <v>0</v>
      </c>
      <c r="T92" t="str">
        <v>0</v>
      </c>
      <c r="U92" t="str">
        <v>0.444401</v>
      </c>
    </row>
    <row r="93" spans="1:21" x14ac:dyDescent="0.35">
      <c r="A93" t="s">
        <v>106</v>
      </c>
      <c r="M93" t="str" cm="1">
        <f t="array" ref="M93:U93">_xlfn.TEXTSPLIT(A93, ",")</f>
        <v>2.6GHz</v>
      </c>
      <c r="N93" t="str">
        <v>30</v>
      </c>
      <c r="O93" t="str">
        <v>1200</v>
      </c>
      <c r="P93" t="str">
        <v>50</v>
      </c>
      <c r="Q93" t="str">
        <v>60</v>
      </c>
      <c r="R93" t="str">
        <v>0.000502</v>
      </c>
      <c r="S93" t="str">
        <v>0</v>
      </c>
      <c r="T93" t="str">
        <v>0</v>
      </c>
      <c r="U93" t="str">
        <v>0.444401</v>
      </c>
    </row>
    <row r="94" spans="1:21" x14ac:dyDescent="0.35">
      <c r="A94" t="s">
        <v>107</v>
      </c>
      <c r="M94" t="str" cm="1">
        <f t="array" ref="M94:U94">_xlfn.TEXTSPLIT(A94, ",")</f>
        <v>2.6GHz</v>
      </c>
      <c r="N94" t="str">
        <v>30</v>
      </c>
      <c r="O94" t="str">
        <v>1200</v>
      </c>
      <c r="P94" t="str">
        <v>100</v>
      </c>
      <c r="Q94" t="str">
        <v>0</v>
      </c>
      <c r="R94" t="str">
        <v>0.000502</v>
      </c>
      <c r="S94" t="str">
        <v>0</v>
      </c>
      <c r="T94" t="str">
        <v>0</v>
      </c>
      <c r="U94" t="str">
        <v>0.444401</v>
      </c>
    </row>
    <row r="95" spans="1:21" x14ac:dyDescent="0.35">
      <c r="A95" t="s">
        <v>108</v>
      </c>
      <c r="M95" t="str" cm="1">
        <f t="array" ref="M95:U95">_xlfn.TEXTSPLIT(A95, ",")</f>
        <v>2.6GHz</v>
      </c>
      <c r="N95" t="str">
        <v>30</v>
      </c>
      <c r="O95" t="str">
        <v>1200</v>
      </c>
      <c r="P95" t="str">
        <v>100</v>
      </c>
      <c r="Q95" t="str">
        <v>10</v>
      </c>
      <c r="R95" t="str">
        <v>0.000502</v>
      </c>
      <c r="S95" t="str">
        <v>0</v>
      </c>
      <c r="T95" t="str">
        <v>0</v>
      </c>
      <c r="U95" t="str">
        <v>0.444401</v>
      </c>
    </row>
    <row r="96" spans="1:21" x14ac:dyDescent="0.35">
      <c r="A96" t="s">
        <v>109</v>
      </c>
      <c r="M96" t="str" cm="1">
        <f t="array" ref="M96:U96">_xlfn.TEXTSPLIT(A96, ",")</f>
        <v>2.6GHz</v>
      </c>
      <c r="N96" t="str">
        <v>30</v>
      </c>
      <c r="O96" t="str">
        <v>1200</v>
      </c>
      <c r="P96" t="str">
        <v>100</v>
      </c>
      <c r="Q96" t="str">
        <v>30</v>
      </c>
      <c r="R96" t="str">
        <v>0.000502</v>
      </c>
      <c r="S96" t="str">
        <v>0</v>
      </c>
      <c r="T96" t="str">
        <v>0</v>
      </c>
      <c r="U96" t="str">
        <v>0.444401</v>
      </c>
    </row>
    <row r="97" spans="1:21" x14ac:dyDescent="0.35">
      <c r="A97" t="s">
        <v>110</v>
      </c>
      <c r="M97" t="str" cm="1">
        <f t="array" ref="M97:U97">_xlfn.TEXTSPLIT(A97, ",")</f>
        <v>2.6GHz</v>
      </c>
      <c r="N97" t="str">
        <v>30</v>
      </c>
      <c r="O97" t="str">
        <v>1200</v>
      </c>
      <c r="P97" t="str">
        <v>100</v>
      </c>
      <c r="Q97" t="str">
        <v>60</v>
      </c>
      <c r="R97" t="str">
        <v>0.000502</v>
      </c>
      <c r="S97" t="str">
        <v>0</v>
      </c>
      <c r="T97" t="str">
        <v>0</v>
      </c>
      <c r="U97" t="str">
        <v>0.444401</v>
      </c>
    </row>
    <row r="98" spans="1:21" x14ac:dyDescent="0.35">
      <c r="A98" t="s">
        <v>111</v>
      </c>
      <c r="M98" t="str" cm="1">
        <f t="array" ref="M98:U98">_xlfn.TEXTSPLIT(A98, ",")</f>
        <v>2.6GHz</v>
      </c>
      <c r="N98" t="str">
        <v>37</v>
      </c>
      <c r="O98" t="str">
        <v>128</v>
      </c>
      <c r="P98" t="str">
        <v>1.5</v>
      </c>
      <c r="Q98" t="str">
        <v>0</v>
      </c>
      <c r="R98" t="str">
        <v>0.000502</v>
      </c>
      <c r="S98" t="str">
        <v>0</v>
      </c>
      <c r="T98" t="str">
        <v>0</v>
      </c>
      <c r="U98" t="str">
        <v>0.0568897</v>
      </c>
    </row>
    <row r="99" spans="1:21" x14ac:dyDescent="0.35">
      <c r="A99" t="s">
        <v>112</v>
      </c>
      <c r="M99" t="str" cm="1">
        <f t="array" ref="M99:U99">_xlfn.TEXTSPLIT(A99, ",")</f>
        <v>2.6GHz</v>
      </c>
      <c r="N99" t="str">
        <v>37</v>
      </c>
      <c r="O99" t="str">
        <v>128</v>
      </c>
      <c r="P99" t="str">
        <v>1.5</v>
      </c>
      <c r="Q99" t="str">
        <v>10</v>
      </c>
      <c r="R99" t="str">
        <v>0.000502</v>
      </c>
      <c r="S99" t="str">
        <v>0</v>
      </c>
      <c r="T99" t="str">
        <v>0</v>
      </c>
      <c r="U99" t="str">
        <v>0.0568897</v>
      </c>
    </row>
    <row r="100" spans="1:21" x14ac:dyDescent="0.35">
      <c r="A100" t="s">
        <v>113</v>
      </c>
      <c r="M100" t="str" cm="1">
        <f t="array" ref="M100:U100">_xlfn.TEXTSPLIT(A100, ",")</f>
        <v>2.6GHz</v>
      </c>
      <c r="N100" t="str">
        <v>37</v>
      </c>
      <c r="O100" t="str">
        <v>128</v>
      </c>
      <c r="P100" t="str">
        <v>1.5</v>
      </c>
      <c r="Q100" t="str">
        <v>30</v>
      </c>
      <c r="R100" t="str">
        <v>0.000502</v>
      </c>
      <c r="S100" t="str">
        <v>0</v>
      </c>
      <c r="T100" t="str">
        <v>0</v>
      </c>
      <c r="U100" t="str">
        <v>0.0568897</v>
      </c>
    </row>
    <row r="101" spans="1:21" x14ac:dyDescent="0.35">
      <c r="A101" t="s">
        <v>114</v>
      </c>
      <c r="M101" t="str" cm="1">
        <f t="array" ref="M101:U101">_xlfn.TEXTSPLIT(A101, ",")</f>
        <v>2.6GHz</v>
      </c>
      <c r="N101" t="str">
        <v>37</v>
      </c>
      <c r="O101" t="str">
        <v>128</v>
      </c>
      <c r="P101" t="str">
        <v>1.5</v>
      </c>
      <c r="Q101" t="str">
        <v>60</v>
      </c>
      <c r="R101" t="str">
        <v>0.000502</v>
      </c>
      <c r="S101" t="str">
        <v>0</v>
      </c>
      <c r="T101" t="str">
        <v>0</v>
      </c>
      <c r="U101" t="str">
        <v>0.0568897</v>
      </c>
    </row>
    <row r="102" spans="1:21" x14ac:dyDescent="0.35">
      <c r="A102" t="s">
        <v>115</v>
      </c>
      <c r="M102" t="str" cm="1">
        <f t="array" ref="M102:U102">_xlfn.TEXTSPLIT(A102, ",")</f>
        <v>2.6GHz</v>
      </c>
      <c r="N102" t="str">
        <v>37</v>
      </c>
      <c r="O102" t="str">
        <v>128</v>
      </c>
      <c r="P102" t="str">
        <v>20</v>
      </c>
      <c r="Q102" t="str">
        <v>0</v>
      </c>
      <c r="R102" t="str">
        <v>0.000502</v>
      </c>
      <c r="S102" t="str">
        <v>0</v>
      </c>
      <c r="T102" t="str">
        <v>0</v>
      </c>
      <c r="U102" t="str">
        <v>0.0568897</v>
      </c>
    </row>
    <row r="103" spans="1:21" x14ac:dyDescent="0.35">
      <c r="A103" t="s">
        <v>116</v>
      </c>
      <c r="M103" t="str" cm="1">
        <f t="array" ref="M103:U103">_xlfn.TEXTSPLIT(A103, ",")</f>
        <v>2.6GHz</v>
      </c>
      <c r="N103" t="str">
        <v>37</v>
      </c>
      <c r="O103" t="str">
        <v>128</v>
      </c>
      <c r="P103" t="str">
        <v>20</v>
      </c>
      <c r="Q103" t="str">
        <v>10</v>
      </c>
      <c r="R103" t="str">
        <v>0.000502</v>
      </c>
      <c r="S103" t="str">
        <v>0</v>
      </c>
      <c r="T103" t="str">
        <v>0</v>
      </c>
      <c r="U103" t="str">
        <v>0.0568897</v>
      </c>
    </row>
    <row r="104" spans="1:21" x14ac:dyDescent="0.35">
      <c r="A104" t="s">
        <v>117</v>
      </c>
      <c r="M104" t="str" cm="1">
        <f t="array" ref="M104:U104">_xlfn.TEXTSPLIT(A104, ",")</f>
        <v>2.6GHz</v>
      </c>
      <c r="N104" t="str">
        <v>37</v>
      </c>
      <c r="O104" t="str">
        <v>128</v>
      </c>
      <c r="P104" t="str">
        <v>20</v>
      </c>
      <c r="Q104" t="str">
        <v>30</v>
      </c>
      <c r="R104" t="str">
        <v>0.000502</v>
      </c>
      <c r="S104" t="str">
        <v>0</v>
      </c>
      <c r="T104" t="str">
        <v>0</v>
      </c>
      <c r="U104" t="str">
        <v>0.0568897</v>
      </c>
    </row>
    <row r="105" spans="1:21" x14ac:dyDescent="0.35">
      <c r="A105" t="s">
        <v>118</v>
      </c>
      <c r="M105" t="str" cm="1">
        <f t="array" ref="M105:U105">_xlfn.TEXTSPLIT(A105, ",")</f>
        <v>2.6GHz</v>
      </c>
      <c r="N105" t="str">
        <v>37</v>
      </c>
      <c r="O105" t="str">
        <v>128</v>
      </c>
      <c r="P105" t="str">
        <v>20</v>
      </c>
      <c r="Q105" t="str">
        <v>60</v>
      </c>
      <c r="R105" t="str">
        <v>0.000502</v>
      </c>
      <c r="S105" t="str">
        <v>0</v>
      </c>
      <c r="T105" t="str">
        <v>0</v>
      </c>
      <c r="U105" t="str">
        <v>0.0568897</v>
      </c>
    </row>
    <row r="106" spans="1:21" x14ac:dyDescent="0.35">
      <c r="A106" t="s">
        <v>119</v>
      </c>
      <c r="M106" t="str" cm="1">
        <f t="array" ref="M106:U106">_xlfn.TEXTSPLIT(A106, ",")</f>
        <v>2.6GHz</v>
      </c>
      <c r="N106" t="str">
        <v>37</v>
      </c>
      <c r="O106" t="str">
        <v>128</v>
      </c>
      <c r="P106" t="str">
        <v>50</v>
      </c>
      <c r="Q106" t="str">
        <v>0</v>
      </c>
      <c r="R106" t="str">
        <v>0.000502</v>
      </c>
      <c r="S106" t="str">
        <v>0</v>
      </c>
      <c r="T106" t="str">
        <v>0</v>
      </c>
      <c r="U106" t="str">
        <v>0.0568897</v>
      </c>
    </row>
    <row r="107" spans="1:21" x14ac:dyDescent="0.35">
      <c r="A107" t="s">
        <v>120</v>
      </c>
      <c r="M107" t="str" cm="1">
        <f t="array" ref="M107:U107">_xlfn.TEXTSPLIT(A107, ",")</f>
        <v>2.6GHz</v>
      </c>
      <c r="N107" t="str">
        <v>37</v>
      </c>
      <c r="O107" t="str">
        <v>128</v>
      </c>
      <c r="P107" t="str">
        <v>50</v>
      </c>
      <c r="Q107" t="str">
        <v>10</v>
      </c>
      <c r="R107" t="str">
        <v>0.000502</v>
      </c>
      <c r="S107" t="str">
        <v>0</v>
      </c>
      <c r="T107" t="str">
        <v>0</v>
      </c>
      <c r="U107" t="str">
        <v>0.0568897</v>
      </c>
    </row>
    <row r="108" spans="1:21" x14ac:dyDescent="0.35">
      <c r="A108" t="s">
        <v>121</v>
      </c>
      <c r="M108" t="str" cm="1">
        <f t="array" ref="M108:U108">_xlfn.TEXTSPLIT(A108, ",")</f>
        <v>2.6GHz</v>
      </c>
      <c r="N108" t="str">
        <v>37</v>
      </c>
      <c r="O108" t="str">
        <v>128</v>
      </c>
      <c r="P108" t="str">
        <v>50</v>
      </c>
      <c r="Q108" t="str">
        <v>30</v>
      </c>
      <c r="R108" t="str">
        <v>0.000502</v>
      </c>
      <c r="S108" t="str">
        <v>0</v>
      </c>
      <c r="T108" t="str">
        <v>0</v>
      </c>
      <c r="U108" t="str">
        <v>0.0568897</v>
      </c>
    </row>
    <row r="109" spans="1:21" x14ac:dyDescent="0.35">
      <c r="A109" t="s">
        <v>122</v>
      </c>
      <c r="M109" t="str" cm="1">
        <f t="array" ref="M109:U109">_xlfn.TEXTSPLIT(A109, ",")</f>
        <v>2.6GHz</v>
      </c>
      <c r="N109" t="str">
        <v>37</v>
      </c>
      <c r="O109" t="str">
        <v>128</v>
      </c>
      <c r="P109" t="str">
        <v>50</v>
      </c>
      <c r="Q109" t="str">
        <v>60</v>
      </c>
      <c r="R109" t="str">
        <v>0.000502</v>
      </c>
      <c r="S109" t="str">
        <v>0</v>
      </c>
      <c r="T109" t="str">
        <v>0</v>
      </c>
      <c r="U109" t="str">
        <v>0.0568897</v>
      </c>
    </row>
    <row r="110" spans="1:21" x14ac:dyDescent="0.35">
      <c r="A110" t="s">
        <v>123</v>
      </c>
      <c r="M110" t="str" cm="1">
        <f t="array" ref="M110:U110">_xlfn.TEXTSPLIT(A110, ",")</f>
        <v>2.6GHz</v>
      </c>
      <c r="N110" t="str">
        <v>37</v>
      </c>
      <c r="O110" t="str">
        <v>128</v>
      </c>
      <c r="P110" t="str">
        <v>100</v>
      </c>
      <c r="Q110" t="str">
        <v>0</v>
      </c>
      <c r="R110" t="str">
        <v>0.000502</v>
      </c>
      <c r="S110" t="str">
        <v>0</v>
      </c>
      <c r="T110" t="str">
        <v>0</v>
      </c>
      <c r="U110" t="str">
        <v>0.0568897</v>
      </c>
    </row>
    <row r="111" spans="1:21" x14ac:dyDescent="0.35">
      <c r="A111" t="s">
        <v>124</v>
      </c>
      <c r="M111" t="str" cm="1">
        <f t="array" ref="M111:U111">_xlfn.TEXTSPLIT(A111, ",")</f>
        <v>2.6GHz</v>
      </c>
      <c r="N111" t="str">
        <v>37</v>
      </c>
      <c r="O111" t="str">
        <v>128</v>
      </c>
      <c r="P111" t="str">
        <v>100</v>
      </c>
      <c r="Q111" t="str">
        <v>10</v>
      </c>
      <c r="R111" t="str">
        <v>0.000502</v>
      </c>
      <c r="S111" t="str">
        <v>0</v>
      </c>
      <c r="T111" t="str">
        <v>0</v>
      </c>
      <c r="U111" t="str">
        <v>0.0568897</v>
      </c>
    </row>
    <row r="112" spans="1:21" x14ac:dyDescent="0.35">
      <c r="A112" t="s">
        <v>125</v>
      </c>
      <c r="M112" t="str" cm="1">
        <f t="array" ref="M112:U112">_xlfn.TEXTSPLIT(A112, ",")</f>
        <v>2.6GHz</v>
      </c>
      <c r="N112" t="str">
        <v>37</v>
      </c>
      <c r="O112" t="str">
        <v>128</v>
      </c>
      <c r="P112" t="str">
        <v>100</v>
      </c>
      <c r="Q112" t="str">
        <v>30</v>
      </c>
      <c r="R112" t="str">
        <v>0.000502</v>
      </c>
      <c r="S112" t="str">
        <v>0</v>
      </c>
      <c r="T112" t="str">
        <v>0</v>
      </c>
      <c r="U112" t="str">
        <v>0.0568897</v>
      </c>
    </row>
    <row r="113" spans="1:21" x14ac:dyDescent="0.35">
      <c r="A113" t="s">
        <v>126</v>
      </c>
      <c r="M113" t="str" cm="1">
        <f t="array" ref="M113:U113">_xlfn.TEXTSPLIT(A113, ",")</f>
        <v>2.6GHz</v>
      </c>
      <c r="N113" t="str">
        <v>37</v>
      </c>
      <c r="O113" t="str">
        <v>128</v>
      </c>
      <c r="P113" t="str">
        <v>100</v>
      </c>
      <c r="Q113" t="str">
        <v>60</v>
      </c>
      <c r="R113" t="str">
        <v>0.000502</v>
      </c>
      <c r="S113" t="str">
        <v>0</v>
      </c>
      <c r="T113" t="str">
        <v>0</v>
      </c>
      <c r="U113" t="str">
        <v>0.0568897</v>
      </c>
    </row>
    <row r="114" spans="1:21" x14ac:dyDescent="0.35">
      <c r="A114" t="s">
        <v>127</v>
      </c>
      <c r="M114" t="str" cm="1">
        <f t="array" ref="M114:U114">_xlfn.TEXTSPLIT(A114, ",")</f>
        <v>2.6GHz</v>
      </c>
      <c r="N114" t="str">
        <v>37</v>
      </c>
      <c r="O114" t="str">
        <v>512</v>
      </c>
      <c r="P114" t="str">
        <v>1.5</v>
      </c>
      <c r="Q114" t="str">
        <v>0</v>
      </c>
      <c r="R114" t="str">
        <v>0.000502</v>
      </c>
      <c r="S114" t="str">
        <v>0</v>
      </c>
      <c r="T114" t="str">
        <v>0</v>
      </c>
      <c r="U114" t="str">
        <v>0.1957</v>
      </c>
    </row>
    <row r="115" spans="1:21" x14ac:dyDescent="0.35">
      <c r="A115" t="s">
        <v>128</v>
      </c>
      <c r="M115" t="str" cm="1">
        <f t="array" ref="M115:U115">_xlfn.TEXTSPLIT(A115, ",")</f>
        <v>2.6GHz</v>
      </c>
      <c r="N115" t="str">
        <v>37</v>
      </c>
      <c r="O115" t="str">
        <v>512</v>
      </c>
      <c r="P115" t="str">
        <v>1.5</v>
      </c>
      <c r="Q115" t="str">
        <v>10</v>
      </c>
      <c r="R115" t="str">
        <v>0.000502</v>
      </c>
      <c r="S115" t="str">
        <v>0</v>
      </c>
      <c r="T115" t="str">
        <v>0</v>
      </c>
      <c r="U115" t="str">
        <v>0.1957</v>
      </c>
    </row>
    <row r="116" spans="1:21" x14ac:dyDescent="0.35">
      <c r="A116" t="s">
        <v>129</v>
      </c>
      <c r="M116" t="str" cm="1">
        <f t="array" ref="M116:U116">_xlfn.TEXTSPLIT(A116, ",")</f>
        <v>2.6GHz</v>
      </c>
      <c r="N116" t="str">
        <v>37</v>
      </c>
      <c r="O116" t="str">
        <v>512</v>
      </c>
      <c r="P116" t="str">
        <v>1.5</v>
      </c>
      <c r="Q116" t="str">
        <v>30</v>
      </c>
      <c r="R116" t="str">
        <v>0.000502</v>
      </c>
      <c r="S116" t="str">
        <v>0</v>
      </c>
      <c r="T116" t="str">
        <v>0</v>
      </c>
      <c r="U116" t="str">
        <v>0.1957</v>
      </c>
    </row>
    <row r="117" spans="1:21" x14ac:dyDescent="0.35">
      <c r="A117" t="s">
        <v>130</v>
      </c>
      <c r="M117" t="str" cm="1">
        <f t="array" ref="M117:U117">_xlfn.TEXTSPLIT(A117, ",")</f>
        <v>2.6GHz</v>
      </c>
      <c r="N117" t="str">
        <v>37</v>
      </c>
      <c r="O117" t="str">
        <v>512</v>
      </c>
      <c r="P117" t="str">
        <v>1.5</v>
      </c>
      <c r="Q117" t="str">
        <v>60</v>
      </c>
      <c r="R117" t="str">
        <v>0.000502</v>
      </c>
      <c r="S117" t="str">
        <v>0</v>
      </c>
      <c r="T117" t="str">
        <v>0</v>
      </c>
      <c r="U117" t="str">
        <v>0.1957</v>
      </c>
    </row>
    <row r="118" spans="1:21" x14ac:dyDescent="0.35">
      <c r="A118" t="s">
        <v>131</v>
      </c>
      <c r="M118" t="str" cm="1">
        <f t="array" ref="M118:U118">_xlfn.TEXTSPLIT(A118, ",")</f>
        <v>2.6GHz</v>
      </c>
      <c r="N118" t="str">
        <v>37</v>
      </c>
      <c r="O118" t="str">
        <v>512</v>
      </c>
      <c r="P118" t="str">
        <v>20</v>
      </c>
      <c r="Q118" t="str">
        <v>0</v>
      </c>
      <c r="R118" t="str">
        <v>0.000502</v>
      </c>
      <c r="S118" t="str">
        <v>0</v>
      </c>
      <c r="T118" t="str">
        <v>0</v>
      </c>
      <c r="U118" t="str">
        <v>0.1957</v>
      </c>
    </row>
    <row r="119" spans="1:21" x14ac:dyDescent="0.35">
      <c r="A119" t="s">
        <v>132</v>
      </c>
      <c r="M119" t="str" cm="1">
        <f t="array" ref="M119:U119">_xlfn.TEXTSPLIT(A119, ",")</f>
        <v>2.6GHz</v>
      </c>
      <c r="N119" t="str">
        <v>37</v>
      </c>
      <c r="O119" t="str">
        <v>512</v>
      </c>
      <c r="P119" t="str">
        <v>20</v>
      </c>
      <c r="Q119" t="str">
        <v>10</v>
      </c>
      <c r="R119" t="str">
        <v>0.000502</v>
      </c>
      <c r="S119" t="str">
        <v>0</v>
      </c>
      <c r="T119" t="str">
        <v>0</v>
      </c>
      <c r="U119" t="str">
        <v>0.1957</v>
      </c>
    </row>
    <row r="120" spans="1:21" x14ac:dyDescent="0.35">
      <c r="A120" t="s">
        <v>133</v>
      </c>
      <c r="M120" t="str" cm="1">
        <f t="array" ref="M120:U120">_xlfn.TEXTSPLIT(A120, ",")</f>
        <v>2.6GHz</v>
      </c>
      <c r="N120" t="str">
        <v>37</v>
      </c>
      <c r="O120" t="str">
        <v>512</v>
      </c>
      <c r="P120" t="str">
        <v>20</v>
      </c>
      <c r="Q120" t="str">
        <v>30</v>
      </c>
      <c r="R120" t="str">
        <v>0.000502</v>
      </c>
      <c r="S120" t="str">
        <v>0</v>
      </c>
      <c r="T120" t="str">
        <v>0</v>
      </c>
      <c r="U120" t="str">
        <v>0.1957</v>
      </c>
    </row>
    <row r="121" spans="1:21" x14ac:dyDescent="0.35">
      <c r="A121" t="s">
        <v>134</v>
      </c>
      <c r="M121" t="str" cm="1">
        <f t="array" ref="M121:U121">_xlfn.TEXTSPLIT(A121, ",")</f>
        <v>2.6GHz</v>
      </c>
      <c r="N121" t="str">
        <v>37</v>
      </c>
      <c r="O121" t="str">
        <v>512</v>
      </c>
      <c r="P121" t="str">
        <v>20</v>
      </c>
      <c r="Q121" t="str">
        <v>60</v>
      </c>
      <c r="R121" t="str">
        <v>0.000502</v>
      </c>
      <c r="S121" t="str">
        <v>0</v>
      </c>
      <c r="T121" t="str">
        <v>0</v>
      </c>
      <c r="U121" t="str">
        <v>0.1957</v>
      </c>
    </row>
    <row r="122" spans="1:21" x14ac:dyDescent="0.35">
      <c r="A122" t="s">
        <v>135</v>
      </c>
      <c r="M122" t="str" cm="1">
        <f t="array" ref="M122:U122">_xlfn.TEXTSPLIT(A122, ",")</f>
        <v>2.6GHz</v>
      </c>
      <c r="N122" t="str">
        <v>37</v>
      </c>
      <c r="O122" t="str">
        <v>512</v>
      </c>
      <c r="P122" t="str">
        <v>50</v>
      </c>
      <c r="Q122" t="str">
        <v>0</v>
      </c>
      <c r="R122" t="str">
        <v>0.000502</v>
      </c>
      <c r="S122" t="str">
        <v>0</v>
      </c>
      <c r="T122" t="str">
        <v>0</v>
      </c>
      <c r="U122" t="str">
        <v>0.1957</v>
      </c>
    </row>
    <row r="123" spans="1:21" x14ac:dyDescent="0.35">
      <c r="A123" t="s">
        <v>136</v>
      </c>
      <c r="M123" t="str" cm="1">
        <f t="array" ref="M123:U123">_xlfn.TEXTSPLIT(A123, ",")</f>
        <v>2.6GHz</v>
      </c>
      <c r="N123" t="str">
        <v>37</v>
      </c>
      <c r="O123" t="str">
        <v>512</v>
      </c>
      <c r="P123" t="str">
        <v>50</v>
      </c>
      <c r="Q123" t="str">
        <v>10</v>
      </c>
      <c r="R123" t="str">
        <v>0.000502</v>
      </c>
      <c r="S123" t="str">
        <v>0</v>
      </c>
      <c r="T123" t="str">
        <v>0</v>
      </c>
      <c r="U123" t="str">
        <v>0.1957</v>
      </c>
    </row>
    <row r="124" spans="1:21" x14ac:dyDescent="0.35">
      <c r="A124" t="s">
        <v>137</v>
      </c>
      <c r="M124" t="str" cm="1">
        <f t="array" ref="M124:U124">_xlfn.TEXTSPLIT(A124, ",")</f>
        <v>2.6GHz</v>
      </c>
      <c r="N124" t="str">
        <v>37</v>
      </c>
      <c r="O124" t="str">
        <v>512</v>
      </c>
      <c r="P124" t="str">
        <v>50</v>
      </c>
      <c r="Q124" t="str">
        <v>30</v>
      </c>
      <c r="R124" t="str">
        <v>0.000502</v>
      </c>
      <c r="S124" t="str">
        <v>0</v>
      </c>
      <c r="T124" t="str">
        <v>0</v>
      </c>
      <c r="U124" t="str">
        <v>0.1957</v>
      </c>
    </row>
    <row r="125" spans="1:21" x14ac:dyDescent="0.35">
      <c r="A125" t="s">
        <v>138</v>
      </c>
      <c r="M125" t="str" cm="1">
        <f t="array" ref="M125:U125">_xlfn.TEXTSPLIT(A125, ",")</f>
        <v>2.6GHz</v>
      </c>
      <c r="N125" t="str">
        <v>37</v>
      </c>
      <c r="O125" t="str">
        <v>512</v>
      </c>
      <c r="P125" t="str">
        <v>50</v>
      </c>
      <c r="Q125" t="str">
        <v>60</v>
      </c>
      <c r="R125" t="str">
        <v>0.000502</v>
      </c>
      <c r="S125" t="str">
        <v>0</v>
      </c>
      <c r="T125" t="str">
        <v>0</v>
      </c>
      <c r="U125" t="str">
        <v>0.1957</v>
      </c>
    </row>
    <row r="126" spans="1:21" x14ac:dyDescent="0.35">
      <c r="A126" t="s">
        <v>139</v>
      </c>
      <c r="M126" t="str" cm="1">
        <f t="array" ref="M126:U126">_xlfn.TEXTSPLIT(A126, ",")</f>
        <v>2.6GHz</v>
      </c>
      <c r="N126" t="str">
        <v>37</v>
      </c>
      <c r="O126" t="str">
        <v>512</v>
      </c>
      <c r="P126" t="str">
        <v>100</v>
      </c>
      <c r="Q126" t="str">
        <v>0</v>
      </c>
      <c r="R126" t="str">
        <v>0.000502</v>
      </c>
      <c r="S126" t="str">
        <v>0</v>
      </c>
      <c r="T126" t="str">
        <v>0</v>
      </c>
      <c r="U126" t="str">
        <v>0.1957</v>
      </c>
    </row>
    <row r="127" spans="1:21" x14ac:dyDescent="0.35">
      <c r="A127" t="s">
        <v>140</v>
      </c>
      <c r="M127" t="str" cm="1">
        <f t="array" ref="M127:U127">_xlfn.TEXTSPLIT(A127, ",")</f>
        <v>2.6GHz</v>
      </c>
      <c r="N127" t="str">
        <v>37</v>
      </c>
      <c r="O127" t="str">
        <v>512</v>
      </c>
      <c r="P127" t="str">
        <v>100</v>
      </c>
      <c r="Q127" t="str">
        <v>10</v>
      </c>
      <c r="R127" t="str">
        <v>0.000502</v>
      </c>
      <c r="S127" t="str">
        <v>0</v>
      </c>
      <c r="T127" t="str">
        <v>0</v>
      </c>
      <c r="U127" t="str">
        <v>0.1957</v>
      </c>
    </row>
    <row r="128" spans="1:21" x14ac:dyDescent="0.35">
      <c r="A128" t="s">
        <v>141</v>
      </c>
      <c r="M128" t="str" cm="1">
        <f t="array" ref="M128:U128">_xlfn.TEXTSPLIT(A128, ",")</f>
        <v>2.6GHz</v>
      </c>
      <c r="N128" t="str">
        <v>37</v>
      </c>
      <c r="O128" t="str">
        <v>512</v>
      </c>
      <c r="P128" t="str">
        <v>100</v>
      </c>
      <c r="Q128" t="str">
        <v>30</v>
      </c>
      <c r="R128" t="str">
        <v>0.000502</v>
      </c>
      <c r="S128" t="str">
        <v>0</v>
      </c>
      <c r="T128" t="str">
        <v>0</v>
      </c>
      <c r="U128" t="str">
        <v>0.1957</v>
      </c>
    </row>
    <row r="129" spans="1:21" x14ac:dyDescent="0.35">
      <c r="A129" t="s">
        <v>142</v>
      </c>
      <c r="M129" t="str" cm="1">
        <f t="array" ref="M129:U129">_xlfn.TEXTSPLIT(A129, ",")</f>
        <v>2.6GHz</v>
      </c>
      <c r="N129" t="str">
        <v>37</v>
      </c>
      <c r="O129" t="str">
        <v>512</v>
      </c>
      <c r="P129" t="str">
        <v>100</v>
      </c>
      <c r="Q129" t="str">
        <v>60</v>
      </c>
      <c r="R129" t="str">
        <v>0.000502</v>
      </c>
      <c r="S129" t="str">
        <v>0</v>
      </c>
      <c r="T129" t="str">
        <v>0</v>
      </c>
      <c r="U129" t="str">
        <v>0.1957</v>
      </c>
    </row>
    <row r="130" spans="1:21" x14ac:dyDescent="0.35">
      <c r="A130" t="s">
        <v>143</v>
      </c>
      <c r="M130" t="str" cm="1">
        <f t="array" ref="M130:U130">_xlfn.TEXTSPLIT(A130, ",")</f>
        <v>2.6GHz</v>
      </c>
      <c r="N130" t="str">
        <v>37</v>
      </c>
      <c r="O130" t="str">
        <v>1200</v>
      </c>
      <c r="P130" t="str">
        <v>1.5</v>
      </c>
      <c r="Q130" t="str">
        <v>0</v>
      </c>
      <c r="R130" t="str">
        <v>0.000502</v>
      </c>
      <c r="S130" t="str">
        <v>0</v>
      </c>
      <c r="T130" t="str">
        <v>0</v>
      </c>
      <c r="U130" t="str">
        <v>0.444401</v>
      </c>
    </row>
    <row r="131" spans="1:21" x14ac:dyDescent="0.35">
      <c r="A131" t="s">
        <v>144</v>
      </c>
      <c r="M131" t="str" cm="1">
        <f t="array" ref="M131:U131">_xlfn.TEXTSPLIT(A131, ",")</f>
        <v>2.6GHz</v>
      </c>
      <c r="N131" t="str">
        <v>37</v>
      </c>
      <c r="O131" t="str">
        <v>1200</v>
      </c>
      <c r="P131" t="str">
        <v>1.5</v>
      </c>
      <c r="Q131" t="str">
        <v>10</v>
      </c>
      <c r="R131" t="str">
        <v>0.000502</v>
      </c>
      <c r="S131" t="str">
        <v>0</v>
      </c>
      <c r="T131" t="str">
        <v>0</v>
      </c>
      <c r="U131" t="str">
        <v>0.444401</v>
      </c>
    </row>
    <row r="132" spans="1:21" x14ac:dyDescent="0.35">
      <c r="A132" t="s">
        <v>145</v>
      </c>
      <c r="M132" t="str" cm="1">
        <f t="array" ref="M132:U132">_xlfn.TEXTSPLIT(A132, ",")</f>
        <v>2.6GHz</v>
      </c>
      <c r="N132" t="str">
        <v>37</v>
      </c>
      <c r="O132" t="str">
        <v>1200</v>
      </c>
      <c r="P132" t="str">
        <v>1.5</v>
      </c>
      <c r="Q132" t="str">
        <v>30</v>
      </c>
      <c r="R132" t="str">
        <v>0.000502</v>
      </c>
      <c r="S132" t="str">
        <v>0</v>
      </c>
      <c r="T132" t="str">
        <v>0</v>
      </c>
      <c r="U132" t="str">
        <v>0.444401</v>
      </c>
    </row>
    <row r="133" spans="1:21" x14ac:dyDescent="0.35">
      <c r="A133" t="s">
        <v>146</v>
      </c>
      <c r="M133" t="str" cm="1">
        <f t="array" ref="M133:U133">_xlfn.TEXTSPLIT(A133, ",")</f>
        <v>2.6GHz</v>
      </c>
      <c r="N133" t="str">
        <v>37</v>
      </c>
      <c r="O133" t="str">
        <v>1200</v>
      </c>
      <c r="P133" t="str">
        <v>1.5</v>
      </c>
      <c r="Q133" t="str">
        <v>60</v>
      </c>
      <c r="R133" t="str">
        <v>0.000502</v>
      </c>
      <c r="S133" t="str">
        <v>0</v>
      </c>
      <c r="T133" t="str">
        <v>0</v>
      </c>
      <c r="U133" t="str">
        <v>0.444401</v>
      </c>
    </row>
    <row r="134" spans="1:21" x14ac:dyDescent="0.35">
      <c r="A134" t="s">
        <v>147</v>
      </c>
      <c r="M134" t="str" cm="1">
        <f t="array" ref="M134:U134">_xlfn.TEXTSPLIT(A134, ",")</f>
        <v>2.6GHz</v>
      </c>
      <c r="N134" t="str">
        <v>37</v>
      </c>
      <c r="O134" t="str">
        <v>1200</v>
      </c>
      <c r="P134" t="str">
        <v>20</v>
      </c>
      <c r="Q134" t="str">
        <v>0</v>
      </c>
      <c r="R134" t="str">
        <v>0.000502</v>
      </c>
      <c r="S134" t="str">
        <v>0</v>
      </c>
      <c r="T134" t="str">
        <v>0</v>
      </c>
      <c r="U134" t="str">
        <v>0.444401</v>
      </c>
    </row>
    <row r="135" spans="1:21" x14ac:dyDescent="0.35">
      <c r="A135" t="s">
        <v>148</v>
      </c>
      <c r="M135" t="str" cm="1">
        <f t="array" ref="M135:U135">_xlfn.TEXTSPLIT(A135, ",")</f>
        <v>2.6GHz</v>
      </c>
      <c r="N135" t="str">
        <v>37</v>
      </c>
      <c r="O135" t="str">
        <v>1200</v>
      </c>
      <c r="P135" t="str">
        <v>20</v>
      </c>
      <c r="Q135" t="str">
        <v>10</v>
      </c>
      <c r="R135" t="str">
        <v>0.000502</v>
      </c>
      <c r="S135" t="str">
        <v>0</v>
      </c>
      <c r="T135" t="str">
        <v>0</v>
      </c>
      <c r="U135" t="str">
        <v>0.444401</v>
      </c>
    </row>
    <row r="136" spans="1:21" x14ac:dyDescent="0.35">
      <c r="A136" t="s">
        <v>149</v>
      </c>
      <c r="M136" t="str" cm="1">
        <f t="array" ref="M136:U136">_xlfn.TEXTSPLIT(A136, ",")</f>
        <v>2.6GHz</v>
      </c>
      <c r="N136" t="str">
        <v>37</v>
      </c>
      <c r="O136" t="str">
        <v>1200</v>
      </c>
      <c r="P136" t="str">
        <v>20</v>
      </c>
      <c r="Q136" t="str">
        <v>30</v>
      </c>
      <c r="R136" t="str">
        <v>0.000502</v>
      </c>
      <c r="S136" t="str">
        <v>0</v>
      </c>
      <c r="T136" t="str">
        <v>0</v>
      </c>
      <c r="U136" t="str">
        <v>0.444401</v>
      </c>
    </row>
    <row r="137" spans="1:21" x14ac:dyDescent="0.35">
      <c r="A137" t="s">
        <v>150</v>
      </c>
      <c r="M137" t="str" cm="1">
        <f t="array" ref="M137:U137">_xlfn.TEXTSPLIT(A137, ",")</f>
        <v>2.6GHz</v>
      </c>
      <c r="N137" t="str">
        <v>37</v>
      </c>
      <c r="O137" t="str">
        <v>1200</v>
      </c>
      <c r="P137" t="str">
        <v>20</v>
      </c>
      <c r="Q137" t="str">
        <v>60</v>
      </c>
      <c r="R137" t="str">
        <v>0.000502</v>
      </c>
      <c r="S137" t="str">
        <v>0</v>
      </c>
      <c r="T137" t="str">
        <v>0</v>
      </c>
      <c r="U137" t="str">
        <v>0.444401</v>
      </c>
    </row>
    <row r="138" spans="1:21" x14ac:dyDescent="0.35">
      <c r="A138" t="s">
        <v>151</v>
      </c>
      <c r="M138" t="str" cm="1">
        <f t="array" ref="M138:U138">_xlfn.TEXTSPLIT(A138, ",")</f>
        <v>2.6GHz</v>
      </c>
      <c r="N138" t="str">
        <v>37</v>
      </c>
      <c r="O138" t="str">
        <v>1200</v>
      </c>
      <c r="P138" t="str">
        <v>50</v>
      </c>
      <c r="Q138" t="str">
        <v>0</v>
      </c>
      <c r="R138" t="str">
        <v>0.000502</v>
      </c>
      <c r="S138" t="str">
        <v>0</v>
      </c>
      <c r="T138" t="str">
        <v>0</v>
      </c>
      <c r="U138" t="str">
        <v>0.444401</v>
      </c>
    </row>
    <row r="139" spans="1:21" x14ac:dyDescent="0.35">
      <c r="A139" t="s">
        <v>152</v>
      </c>
      <c r="M139" t="str" cm="1">
        <f t="array" ref="M139:U139">_xlfn.TEXTSPLIT(A139, ",")</f>
        <v>2.6GHz</v>
      </c>
      <c r="N139" t="str">
        <v>37</v>
      </c>
      <c r="O139" t="str">
        <v>1200</v>
      </c>
      <c r="P139" t="str">
        <v>50</v>
      </c>
      <c r="Q139" t="str">
        <v>10</v>
      </c>
      <c r="R139" t="str">
        <v>0.000502</v>
      </c>
      <c r="S139" t="str">
        <v>0</v>
      </c>
      <c r="T139" t="str">
        <v>0</v>
      </c>
      <c r="U139" t="str">
        <v>0.444401</v>
      </c>
    </row>
    <row r="140" spans="1:21" x14ac:dyDescent="0.35">
      <c r="A140" t="s">
        <v>153</v>
      </c>
      <c r="M140" t="str" cm="1">
        <f t="array" ref="M140:U140">_xlfn.TEXTSPLIT(A140, ",")</f>
        <v>2.6GHz</v>
      </c>
      <c r="N140" t="str">
        <v>37</v>
      </c>
      <c r="O140" t="str">
        <v>1200</v>
      </c>
      <c r="P140" t="str">
        <v>50</v>
      </c>
      <c r="Q140" t="str">
        <v>30</v>
      </c>
      <c r="R140" t="str">
        <v>0.000502</v>
      </c>
      <c r="S140" t="str">
        <v>0</v>
      </c>
      <c r="T140" t="str">
        <v>0</v>
      </c>
      <c r="U140" t="str">
        <v>0.444401</v>
      </c>
    </row>
    <row r="141" spans="1:21" x14ac:dyDescent="0.35">
      <c r="A141" t="s">
        <v>154</v>
      </c>
      <c r="M141" t="str" cm="1">
        <f t="array" ref="M141:U141">_xlfn.TEXTSPLIT(A141, ",")</f>
        <v>2.6GHz</v>
      </c>
      <c r="N141" t="str">
        <v>37</v>
      </c>
      <c r="O141" t="str">
        <v>1200</v>
      </c>
      <c r="P141" t="str">
        <v>50</v>
      </c>
      <c r="Q141" t="str">
        <v>60</v>
      </c>
      <c r="R141" t="str">
        <v>0.000502</v>
      </c>
      <c r="S141" t="str">
        <v>0</v>
      </c>
      <c r="T141" t="str">
        <v>0</v>
      </c>
      <c r="U141" t="str">
        <v>0.444401</v>
      </c>
    </row>
    <row r="142" spans="1:21" x14ac:dyDescent="0.35">
      <c r="A142" t="s">
        <v>155</v>
      </c>
      <c r="M142" t="str" cm="1">
        <f t="array" ref="M142:U142">_xlfn.TEXTSPLIT(A142, ",")</f>
        <v>2.6GHz</v>
      </c>
      <c r="N142" t="str">
        <v>37</v>
      </c>
      <c r="O142" t="str">
        <v>1200</v>
      </c>
      <c r="P142" t="str">
        <v>100</v>
      </c>
      <c r="Q142" t="str">
        <v>0</v>
      </c>
      <c r="R142" t="str">
        <v>0.000502</v>
      </c>
      <c r="S142" t="str">
        <v>0</v>
      </c>
      <c r="T142" t="str">
        <v>0</v>
      </c>
      <c r="U142" t="str">
        <v>0.444401</v>
      </c>
    </row>
    <row r="143" spans="1:21" x14ac:dyDescent="0.35">
      <c r="A143" t="s">
        <v>156</v>
      </c>
      <c r="M143" t="str" cm="1">
        <f t="array" ref="M143:U143">_xlfn.TEXTSPLIT(A143, ",")</f>
        <v>2.6GHz</v>
      </c>
      <c r="N143" t="str">
        <v>37</v>
      </c>
      <c r="O143" t="str">
        <v>1200</v>
      </c>
      <c r="P143" t="str">
        <v>100</v>
      </c>
      <c r="Q143" t="str">
        <v>10</v>
      </c>
      <c r="R143" t="str">
        <v>0.000502</v>
      </c>
      <c r="S143" t="str">
        <v>0</v>
      </c>
      <c r="T143" t="str">
        <v>0</v>
      </c>
      <c r="U143" t="str">
        <v>0.444401</v>
      </c>
    </row>
    <row r="144" spans="1:21" x14ac:dyDescent="0.35">
      <c r="A144" t="s">
        <v>157</v>
      </c>
      <c r="M144" t="str" cm="1">
        <f t="array" ref="M144:U144">_xlfn.TEXTSPLIT(A144, ",")</f>
        <v>2.6GHz</v>
      </c>
      <c r="N144" t="str">
        <v>37</v>
      </c>
      <c r="O144" t="str">
        <v>1200</v>
      </c>
      <c r="P144" t="str">
        <v>100</v>
      </c>
      <c r="Q144" t="str">
        <v>30</v>
      </c>
      <c r="R144" t="str">
        <v>0.000502</v>
      </c>
      <c r="S144" t="str">
        <v>0</v>
      </c>
      <c r="T144" t="str">
        <v>0</v>
      </c>
      <c r="U144" t="str">
        <v>0.444401</v>
      </c>
    </row>
    <row r="145" spans="1:21" x14ac:dyDescent="0.35">
      <c r="A145" t="s">
        <v>158</v>
      </c>
      <c r="M145" t="str" cm="1">
        <f t="array" ref="M145:U145">_xlfn.TEXTSPLIT(A145, ",")</f>
        <v>2.6GHz</v>
      </c>
      <c r="N145" t="str">
        <v>37</v>
      </c>
      <c r="O145" t="str">
        <v>1200</v>
      </c>
      <c r="P145" t="str">
        <v>100</v>
      </c>
      <c r="Q145" t="str">
        <v>60</v>
      </c>
      <c r="R145" t="str">
        <v>0.000502</v>
      </c>
      <c r="S145" t="str">
        <v>0</v>
      </c>
      <c r="T145" t="str">
        <v>0</v>
      </c>
      <c r="U145" t="str">
        <v>0.444401</v>
      </c>
    </row>
    <row r="146" spans="1:21" x14ac:dyDescent="0.35">
      <c r="A146" t="s">
        <v>159</v>
      </c>
      <c r="M146" t="str" cm="1">
        <f t="array" ref="M146:U146">_xlfn.TEXTSPLIT(A146, ",")</f>
        <v>3.5GHz</v>
      </c>
      <c r="N146" t="str">
        <v>23</v>
      </c>
      <c r="O146" t="str">
        <v>128</v>
      </c>
      <c r="P146" t="str">
        <v>1.5</v>
      </c>
      <c r="Q146" t="str">
        <v>0</v>
      </c>
      <c r="R146" t="str">
        <v>0.000502</v>
      </c>
      <c r="S146" t="str">
        <v>0</v>
      </c>
      <c r="T146" t="str">
        <v>0</v>
      </c>
      <c r="U146" t="str">
        <v>0.0568897</v>
      </c>
    </row>
    <row r="147" spans="1:21" x14ac:dyDescent="0.35">
      <c r="A147" t="s">
        <v>160</v>
      </c>
      <c r="M147" t="str" cm="1">
        <f t="array" ref="M147:U147">_xlfn.TEXTSPLIT(A147, ",")</f>
        <v>3.5GHz</v>
      </c>
      <c r="N147" t="str">
        <v>23</v>
      </c>
      <c r="O147" t="str">
        <v>128</v>
      </c>
      <c r="P147" t="str">
        <v>1.5</v>
      </c>
      <c r="Q147" t="str">
        <v>10</v>
      </c>
      <c r="R147" t="str">
        <v>0.000502</v>
      </c>
      <c r="S147" t="str">
        <v>0</v>
      </c>
      <c r="T147" t="str">
        <v>0</v>
      </c>
      <c r="U147" t="str">
        <v>0.0568897</v>
      </c>
    </row>
    <row r="148" spans="1:21" x14ac:dyDescent="0.35">
      <c r="A148" t="s">
        <v>161</v>
      </c>
      <c r="M148" t="str" cm="1">
        <f t="array" ref="M148:U148">_xlfn.TEXTSPLIT(A148, ",")</f>
        <v>3.5GHz</v>
      </c>
      <c r="N148" t="str">
        <v>23</v>
      </c>
      <c r="O148" t="str">
        <v>128</v>
      </c>
      <c r="P148" t="str">
        <v>1.5</v>
      </c>
      <c r="Q148" t="str">
        <v>30</v>
      </c>
      <c r="R148" t="str">
        <v>0.000502</v>
      </c>
      <c r="S148" t="str">
        <v>0</v>
      </c>
      <c r="T148" t="str">
        <v>0</v>
      </c>
      <c r="U148" t="str">
        <v>0.0568897</v>
      </c>
    </row>
    <row r="149" spans="1:21" x14ac:dyDescent="0.35">
      <c r="A149" t="s">
        <v>162</v>
      </c>
      <c r="M149" t="str" cm="1">
        <f t="array" ref="M149:U149">_xlfn.TEXTSPLIT(A149, ",")</f>
        <v>3.5GHz</v>
      </c>
      <c r="N149" t="str">
        <v>23</v>
      </c>
      <c r="O149" t="str">
        <v>128</v>
      </c>
      <c r="P149" t="str">
        <v>1.5</v>
      </c>
      <c r="Q149" t="str">
        <v>60</v>
      </c>
      <c r="R149" t="str">
        <v>0.000502</v>
      </c>
      <c r="S149" t="str">
        <v>0</v>
      </c>
      <c r="T149" t="str">
        <v>0</v>
      </c>
      <c r="U149" t="str">
        <v>0.0568897</v>
      </c>
    </row>
    <row r="150" spans="1:21" x14ac:dyDescent="0.35">
      <c r="A150" t="s">
        <v>163</v>
      </c>
      <c r="M150" t="str" cm="1">
        <f t="array" ref="M150:U150">_xlfn.TEXTSPLIT(A150, ",")</f>
        <v>3.5GHz</v>
      </c>
      <c r="N150" t="str">
        <v>23</v>
      </c>
      <c r="O150" t="str">
        <v>128</v>
      </c>
      <c r="P150" t="str">
        <v>20</v>
      </c>
      <c r="Q150" t="str">
        <v>0</v>
      </c>
      <c r="R150" t="str">
        <v>0.000502</v>
      </c>
      <c r="S150" t="str">
        <v>0</v>
      </c>
      <c r="T150" t="str">
        <v>0</v>
      </c>
      <c r="U150" t="str">
        <v>0.0568897</v>
      </c>
    </row>
    <row r="151" spans="1:21" x14ac:dyDescent="0.35">
      <c r="A151" t="s">
        <v>164</v>
      </c>
      <c r="M151" t="str" cm="1">
        <f t="array" ref="M151:U151">_xlfn.TEXTSPLIT(A151, ",")</f>
        <v>3.5GHz</v>
      </c>
      <c r="N151" t="str">
        <v>23</v>
      </c>
      <c r="O151" t="str">
        <v>128</v>
      </c>
      <c r="P151" t="str">
        <v>20</v>
      </c>
      <c r="Q151" t="str">
        <v>10</v>
      </c>
      <c r="R151" t="str">
        <v>0.000502</v>
      </c>
      <c r="S151" t="str">
        <v>0</v>
      </c>
      <c r="T151" t="str">
        <v>0</v>
      </c>
      <c r="U151" t="str">
        <v>0.0568897</v>
      </c>
    </row>
    <row r="152" spans="1:21" x14ac:dyDescent="0.35">
      <c r="A152" t="s">
        <v>165</v>
      </c>
      <c r="M152" t="str" cm="1">
        <f t="array" ref="M152:U152">_xlfn.TEXTSPLIT(A152, ",")</f>
        <v>3.5GHz</v>
      </c>
      <c r="N152" t="str">
        <v>23</v>
      </c>
      <c r="O152" t="str">
        <v>128</v>
      </c>
      <c r="P152" t="str">
        <v>20</v>
      </c>
      <c r="Q152" t="str">
        <v>30</v>
      </c>
      <c r="R152" t="str">
        <v>0.000502</v>
      </c>
      <c r="S152" t="str">
        <v>0</v>
      </c>
      <c r="T152" t="str">
        <v>0</v>
      </c>
      <c r="U152" t="str">
        <v>0.0568897</v>
      </c>
    </row>
    <row r="153" spans="1:21" x14ac:dyDescent="0.35">
      <c r="A153" t="s">
        <v>166</v>
      </c>
      <c r="M153" t="str" cm="1">
        <f t="array" ref="M153:U153">_xlfn.TEXTSPLIT(A153, ",")</f>
        <v>3.5GHz</v>
      </c>
      <c r="N153" t="str">
        <v>23</v>
      </c>
      <c r="O153" t="str">
        <v>128</v>
      </c>
      <c r="P153" t="str">
        <v>20</v>
      </c>
      <c r="Q153" t="str">
        <v>60</v>
      </c>
      <c r="R153" t="str">
        <v>0.000502</v>
      </c>
      <c r="S153" t="str">
        <v>0</v>
      </c>
      <c r="T153" t="str">
        <v>0</v>
      </c>
      <c r="U153" t="str">
        <v>0.0568897</v>
      </c>
    </row>
    <row r="154" spans="1:21" x14ac:dyDescent="0.35">
      <c r="A154" t="s">
        <v>167</v>
      </c>
      <c r="M154" t="str" cm="1">
        <f t="array" ref="M154:U154">_xlfn.TEXTSPLIT(A154, ",")</f>
        <v>3.5GHz</v>
      </c>
      <c r="N154" t="str">
        <v>23</v>
      </c>
      <c r="O154" t="str">
        <v>128</v>
      </c>
      <c r="P154" t="str">
        <v>50</v>
      </c>
      <c r="Q154" t="str">
        <v>0</v>
      </c>
      <c r="R154" t="str">
        <v>0.000502</v>
      </c>
      <c r="S154" t="str">
        <v>0</v>
      </c>
      <c r="T154" t="str">
        <v>0</v>
      </c>
      <c r="U154" t="str">
        <v>0.0568897</v>
      </c>
    </row>
    <row r="155" spans="1:21" x14ac:dyDescent="0.35">
      <c r="A155" t="s">
        <v>168</v>
      </c>
      <c r="M155" t="str" cm="1">
        <f t="array" ref="M155:U155">_xlfn.TEXTSPLIT(A155, ",")</f>
        <v>3.5GHz</v>
      </c>
      <c r="N155" t="str">
        <v>23</v>
      </c>
      <c r="O155" t="str">
        <v>128</v>
      </c>
      <c r="P155" t="str">
        <v>50</v>
      </c>
      <c r="Q155" t="str">
        <v>10</v>
      </c>
      <c r="R155" t="str">
        <v>0.000502</v>
      </c>
      <c r="S155" t="str">
        <v>0</v>
      </c>
      <c r="T155" t="str">
        <v>0</v>
      </c>
      <c r="U155" t="str">
        <v>0.0568897</v>
      </c>
    </row>
    <row r="156" spans="1:21" x14ac:dyDescent="0.35">
      <c r="A156" t="s">
        <v>169</v>
      </c>
      <c r="M156" t="str" cm="1">
        <f t="array" ref="M156:U156">_xlfn.TEXTSPLIT(A156, ",")</f>
        <v>3.5GHz</v>
      </c>
      <c r="N156" t="str">
        <v>23</v>
      </c>
      <c r="O156" t="str">
        <v>128</v>
      </c>
      <c r="P156" t="str">
        <v>50</v>
      </c>
      <c r="Q156" t="str">
        <v>30</v>
      </c>
      <c r="R156" t="str">
        <v>0.000502</v>
      </c>
      <c r="S156" t="str">
        <v>0</v>
      </c>
      <c r="T156" t="str">
        <v>0</v>
      </c>
      <c r="U156" t="str">
        <v>0.0568897</v>
      </c>
    </row>
    <row r="157" spans="1:21" x14ac:dyDescent="0.35">
      <c r="A157" t="s">
        <v>170</v>
      </c>
      <c r="M157" t="str" cm="1">
        <f t="array" ref="M157:U157">_xlfn.TEXTSPLIT(A157, ",")</f>
        <v>3.5GHz</v>
      </c>
      <c r="N157" t="str">
        <v>23</v>
      </c>
      <c r="O157" t="str">
        <v>128</v>
      </c>
      <c r="P157" t="str">
        <v>50</v>
      </c>
      <c r="Q157" t="str">
        <v>60</v>
      </c>
      <c r="R157" t="str">
        <v>0.000502</v>
      </c>
      <c r="S157" t="str">
        <v>0</v>
      </c>
      <c r="T157" t="str">
        <v>0</v>
      </c>
      <c r="U157" t="str">
        <v>0.0568897</v>
      </c>
    </row>
    <row r="158" spans="1:21" x14ac:dyDescent="0.35">
      <c r="A158" t="s">
        <v>171</v>
      </c>
      <c r="M158" t="str" cm="1">
        <f t="array" ref="M158:U158">_xlfn.TEXTSPLIT(A158, ",")</f>
        <v>3.5GHz</v>
      </c>
      <c r="N158" t="str">
        <v>23</v>
      </c>
      <c r="O158" t="str">
        <v>128</v>
      </c>
      <c r="P158" t="str">
        <v>100</v>
      </c>
      <c r="Q158" t="str">
        <v>0</v>
      </c>
      <c r="R158" t="str">
        <v>0.000502</v>
      </c>
      <c r="S158" t="str">
        <v>0</v>
      </c>
      <c r="T158" t="str">
        <v>0</v>
      </c>
      <c r="U158" t="str">
        <v>0.0568897</v>
      </c>
    </row>
    <row r="159" spans="1:21" x14ac:dyDescent="0.35">
      <c r="A159" t="s">
        <v>172</v>
      </c>
      <c r="M159" t="str" cm="1">
        <f t="array" ref="M159:U159">_xlfn.TEXTSPLIT(A159, ",")</f>
        <v>3.5GHz</v>
      </c>
      <c r="N159" t="str">
        <v>23</v>
      </c>
      <c r="O159" t="str">
        <v>128</v>
      </c>
      <c r="P159" t="str">
        <v>100</v>
      </c>
      <c r="Q159" t="str">
        <v>10</v>
      </c>
      <c r="R159" t="str">
        <v>0.000502</v>
      </c>
      <c r="S159" t="str">
        <v>0</v>
      </c>
      <c r="T159" t="str">
        <v>0</v>
      </c>
      <c r="U159" t="str">
        <v>0.0568897</v>
      </c>
    </row>
    <row r="160" spans="1:21" x14ac:dyDescent="0.35">
      <c r="A160" t="s">
        <v>173</v>
      </c>
      <c r="M160" t="str" cm="1">
        <f t="array" ref="M160:U160">_xlfn.TEXTSPLIT(A160, ",")</f>
        <v>3.5GHz</v>
      </c>
      <c r="N160" t="str">
        <v>23</v>
      </c>
      <c r="O160" t="str">
        <v>128</v>
      </c>
      <c r="P160" t="str">
        <v>100</v>
      </c>
      <c r="Q160" t="str">
        <v>30</v>
      </c>
      <c r="R160" t="str">
        <v>0.000502</v>
      </c>
      <c r="S160" t="str">
        <v>0</v>
      </c>
      <c r="T160" t="str">
        <v>0</v>
      </c>
      <c r="U160" t="str">
        <v>0.0568897</v>
      </c>
    </row>
    <row r="161" spans="1:21" x14ac:dyDescent="0.35">
      <c r="A161" t="s">
        <v>174</v>
      </c>
      <c r="M161" t="str" cm="1">
        <f t="array" ref="M161:U161">_xlfn.TEXTSPLIT(A161, ",")</f>
        <v>3.5GHz</v>
      </c>
      <c r="N161" t="str">
        <v>23</v>
      </c>
      <c r="O161" t="str">
        <v>128</v>
      </c>
      <c r="P161" t="str">
        <v>100</v>
      </c>
      <c r="Q161" t="str">
        <v>60</v>
      </c>
      <c r="R161" t="str">
        <v>0.000502</v>
      </c>
      <c r="S161" t="str">
        <v>0</v>
      </c>
      <c r="T161" t="str">
        <v>0</v>
      </c>
      <c r="U161" t="str">
        <v>0.0568897</v>
      </c>
    </row>
    <row r="162" spans="1:21" x14ac:dyDescent="0.35">
      <c r="A162" t="s">
        <v>175</v>
      </c>
      <c r="M162" t="str" cm="1">
        <f t="array" ref="M162:U162">_xlfn.TEXTSPLIT(A162, ",")</f>
        <v>3.5GHz</v>
      </c>
      <c r="N162" t="str">
        <v>23</v>
      </c>
      <c r="O162" t="str">
        <v>512</v>
      </c>
      <c r="P162" t="str">
        <v>1.5</v>
      </c>
      <c r="Q162" t="str">
        <v>0</v>
      </c>
      <c r="R162" t="str">
        <v>0.000502</v>
      </c>
      <c r="S162" t="str">
        <v>0</v>
      </c>
      <c r="T162" t="str">
        <v>0</v>
      </c>
      <c r="U162" t="str">
        <v>0.1957</v>
      </c>
    </row>
    <row r="163" spans="1:21" x14ac:dyDescent="0.35">
      <c r="A163" t="s">
        <v>176</v>
      </c>
      <c r="M163" t="str" cm="1">
        <f t="array" ref="M163:U163">_xlfn.TEXTSPLIT(A163, ",")</f>
        <v>3.5GHz</v>
      </c>
      <c r="N163" t="str">
        <v>23</v>
      </c>
      <c r="O163" t="str">
        <v>512</v>
      </c>
      <c r="P163" t="str">
        <v>1.5</v>
      </c>
      <c r="Q163" t="str">
        <v>10</v>
      </c>
      <c r="R163" t="str">
        <v>0.000502</v>
      </c>
      <c r="S163" t="str">
        <v>0</v>
      </c>
      <c r="T163" t="str">
        <v>0</v>
      </c>
      <c r="U163" t="str">
        <v>0.1957</v>
      </c>
    </row>
    <row r="164" spans="1:21" x14ac:dyDescent="0.35">
      <c r="A164" t="s">
        <v>177</v>
      </c>
      <c r="M164" t="str" cm="1">
        <f t="array" ref="M164:U164">_xlfn.TEXTSPLIT(A164, ",")</f>
        <v>3.5GHz</v>
      </c>
      <c r="N164" t="str">
        <v>23</v>
      </c>
      <c r="O164" t="str">
        <v>512</v>
      </c>
      <c r="P164" t="str">
        <v>1.5</v>
      </c>
      <c r="Q164" t="str">
        <v>30</v>
      </c>
      <c r="R164" t="str">
        <v>0.000502</v>
      </c>
      <c r="S164" t="str">
        <v>0</v>
      </c>
      <c r="T164" t="str">
        <v>0</v>
      </c>
      <c r="U164" t="str">
        <v>0.1957</v>
      </c>
    </row>
    <row r="165" spans="1:21" x14ac:dyDescent="0.35">
      <c r="A165" t="s">
        <v>178</v>
      </c>
      <c r="M165" t="str" cm="1">
        <f t="array" ref="M165:U165">_xlfn.TEXTSPLIT(A165, ",")</f>
        <v>3.5GHz</v>
      </c>
      <c r="N165" t="str">
        <v>23</v>
      </c>
      <c r="O165" t="str">
        <v>512</v>
      </c>
      <c r="P165" t="str">
        <v>1.5</v>
      </c>
      <c r="Q165" t="str">
        <v>60</v>
      </c>
      <c r="R165" t="str">
        <v>0.000502</v>
      </c>
      <c r="S165" t="str">
        <v>0</v>
      </c>
      <c r="T165" t="str">
        <v>0</v>
      </c>
      <c r="U165" t="str">
        <v>0.1957</v>
      </c>
    </row>
    <row r="166" spans="1:21" x14ac:dyDescent="0.35">
      <c r="A166" t="s">
        <v>179</v>
      </c>
      <c r="M166" t="str" cm="1">
        <f t="array" ref="M166:U166">_xlfn.TEXTSPLIT(A166, ",")</f>
        <v>3.5GHz</v>
      </c>
      <c r="N166" t="str">
        <v>23</v>
      </c>
      <c r="O166" t="str">
        <v>512</v>
      </c>
      <c r="P166" t="str">
        <v>20</v>
      </c>
      <c r="Q166" t="str">
        <v>0</v>
      </c>
      <c r="R166" t="str">
        <v>0.000502</v>
      </c>
      <c r="S166" t="str">
        <v>0</v>
      </c>
      <c r="T166" t="str">
        <v>0</v>
      </c>
      <c r="U166" t="str">
        <v>0.1957</v>
      </c>
    </row>
    <row r="167" spans="1:21" x14ac:dyDescent="0.35">
      <c r="A167" t="s">
        <v>180</v>
      </c>
      <c r="M167" t="str" cm="1">
        <f t="array" ref="M167:U167">_xlfn.TEXTSPLIT(A167, ",")</f>
        <v>3.5GHz</v>
      </c>
      <c r="N167" t="str">
        <v>23</v>
      </c>
      <c r="O167" t="str">
        <v>512</v>
      </c>
      <c r="P167" t="str">
        <v>20</v>
      </c>
      <c r="Q167" t="str">
        <v>10</v>
      </c>
      <c r="R167" t="str">
        <v>0.000502</v>
      </c>
      <c r="S167" t="str">
        <v>0</v>
      </c>
      <c r="T167" t="str">
        <v>0</v>
      </c>
      <c r="U167" t="str">
        <v>0.1957</v>
      </c>
    </row>
    <row r="168" spans="1:21" x14ac:dyDescent="0.35">
      <c r="A168" t="s">
        <v>181</v>
      </c>
      <c r="M168" t="str" cm="1">
        <f t="array" ref="M168:U168">_xlfn.TEXTSPLIT(A168, ",")</f>
        <v>3.5GHz</v>
      </c>
      <c r="N168" t="str">
        <v>23</v>
      </c>
      <c r="O168" t="str">
        <v>512</v>
      </c>
      <c r="P168" t="str">
        <v>20</v>
      </c>
      <c r="Q168" t="str">
        <v>30</v>
      </c>
      <c r="R168" t="str">
        <v>0.000502</v>
      </c>
      <c r="S168" t="str">
        <v>0</v>
      </c>
      <c r="T168" t="str">
        <v>0</v>
      </c>
      <c r="U168" t="str">
        <v>0.1957</v>
      </c>
    </row>
    <row r="169" spans="1:21" x14ac:dyDescent="0.35">
      <c r="A169" t="s">
        <v>182</v>
      </c>
      <c r="M169" t="str" cm="1">
        <f t="array" ref="M169:U169">_xlfn.TEXTSPLIT(A169, ",")</f>
        <v>3.5GHz</v>
      </c>
      <c r="N169" t="str">
        <v>23</v>
      </c>
      <c r="O169" t="str">
        <v>512</v>
      </c>
      <c r="P169" t="str">
        <v>20</v>
      </c>
      <c r="Q169" t="str">
        <v>60</v>
      </c>
      <c r="R169" t="str">
        <v>0.000502</v>
      </c>
      <c r="S169" t="str">
        <v>0</v>
      </c>
      <c r="T169" t="str">
        <v>0</v>
      </c>
      <c r="U169" t="str">
        <v>0.1957</v>
      </c>
    </row>
    <row r="170" spans="1:21" x14ac:dyDescent="0.35">
      <c r="A170" t="s">
        <v>183</v>
      </c>
      <c r="M170" t="str" cm="1">
        <f t="array" ref="M170:U170">_xlfn.TEXTSPLIT(A170, ",")</f>
        <v>3.5GHz</v>
      </c>
      <c r="N170" t="str">
        <v>23</v>
      </c>
      <c r="O170" t="str">
        <v>512</v>
      </c>
      <c r="P170" t="str">
        <v>50</v>
      </c>
      <c r="Q170" t="str">
        <v>0</v>
      </c>
      <c r="R170" t="str">
        <v>0.000502</v>
      </c>
      <c r="S170" t="str">
        <v>0</v>
      </c>
      <c r="T170" t="str">
        <v>0</v>
      </c>
      <c r="U170" t="str">
        <v>0.1957</v>
      </c>
    </row>
    <row r="171" spans="1:21" x14ac:dyDescent="0.35">
      <c r="A171" t="s">
        <v>184</v>
      </c>
      <c r="M171" t="str" cm="1">
        <f t="array" ref="M171:U171">_xlfn.TEXTSPLIT(A171, ",")</f>
        <v>3.5GHz</v>
      </c>
      <c r="N171" t="str">
        <v>23</v>
      </c>
      <c r="O171" t="str">
        <v>512</v>
      </c>
      <c r="P171" t="str">
        <v>50</v>
      </c>
      <c r="Q171" t="str">
        <v>10</v>
      </c>
      <c r="R171" t="str">
        <v>0.000502</v>
      </c>
      <c r="S171" t="str">
        <v>0</v>
      </c>
      <c r="T171" t="str">
        <v>0</v>
      </c>
      <c r="U171" t="str">
        <v>0.1957</v>
      </c>
    </row>
    <row r="172" spans="1:21" x14ac:dyDescent="0.35">
      <c r="A172" t="s">
        <v>185</v>
      </c>
      <c r="M172" t="str" cm="1">
        <f t="array" ref="M172:U172">_xlfn.TEXTSPLIT(A172, ",")</f>
        <v>3.5GHz</v>
      </c>
      <c r="N172" t="str">
        <v>23</v>
      </c>
      <c r="O172" t="str">
        <v>512</v>
      </c>
      <c r="P172" t="str">
        <v>50</v>
      </c>
      <c r="Q172" t="str">
        <v>30</v>
      </c>
      <c r="R172" t="str">
        <v>0.000502</v>
      </c>
      <c r="S172" t="str">
        <v>0</v>
      </c>
      <c r="T172" t="str">
        <v>0</v>
      </c>
      <c r="U172" t="str">
        <v>0.1957</v>
      </c>
    </row>
    <row r="173" spans="1:21" x14ac:dyDescent="0.35">
      <c r="A173" t="s">
        <v>186</v>
      </c>
      <c r="M173" t="str" cm="1">
        <f t="array" ref="M173:U173">_xlfn.TEXTSPLIT(A173, ",")</f>
        <v>3.5GHz</v>
      </c>
      <c r="N173" t="str">
        <v>23</v>
      </c>
      <c r="O173" t="str">
        <v>512</v>
      </c>
      <c r="P173" t="str">
        <v>50</v>
      </c>
      <c r="Q173" t="str">
        <v>60</v>
      </c>
      <c r="R173" t="str">
        <v>0.000502</v>
      </c>
      <c r="S173" t="str">
        <v>0</v>
      </c>
      <c r="T173" t="str">
        <v>0</v>
      </c>
      <c r="U173" t="str">
        <v>0.1957</v>
      </c>
    </row>
    <row r="174" spans="1:21" x14ac:dyDescent="0.35">
      <c r="A174" t="s">
        <v>187</v>
      </c>
      <c r="M174" t="str" cm="1">
        <f t="array" ref="M174:U174">_xlfn.TEXTSPLIT(A174, ",")</f>
        <v>3.5GHz</v>
      </c>
      <c r="N174" t="str">
        <v>23</v>
      </c>
      <c r="O174" t="str">
        <v>512</v>
      </c>
      <c r="P174" t="str">
        <v>100</v>
      </c>
      <c r="Q174" t="str">
        <v>0</v>
      </c>
      <c r="R174" t="str">
        <v>0.000502</v>
      </c>
      <c r="S174" t="str">
        <v>0</v>
      </c>
      <c r="T174" t="str">
        <v>0</v>
      </c>
      <c r="U174" t="str">
        <v>0.1957</v>
      </c>
    </row>
    <row r="175" spans="1:21" x14ac:dyDescent="0.35">
      <c r="A175" t="s">
        <v>188</v>
      </c>
      <c r="M175" t="str" cm="1">
        <f t="array" ref="M175:U175">_xlfn.TEXTSPLIT(A175, ",")</f>
        <v>3.5GHz</v>
      </c>
      <c r="N175" t="str">
        <v>23</v>
      </c>
      <c r="O175" t="str">
        <v>512</v>
      </c>
      <c r="P175" t="str">
        <v>100</v>
      </c>
      <c r="Q175" t="str">
        <v>10</v>
      </c>
      <c r="R175" t="str">
        <v>0.000502</v>
      </c>
      <c r="S175" t="str">
        <v>0</v>
      </c>
      <c r="T175" t="str">
        <v>0</v>
      </c>
      <c r="U175" t="str">
        <v>0.1957</v>
      </c>
    </row>
    <row r="176" spans="1:21" x14ac:dyDescent="0.35">
      <c r="A176" t="s">
        <v>189</v>
      </c>
      <c r="M176" t="str" cm="1">
        <f t="array" ref="M176:U176">_xlfn.TEXTSPLIT(A176, ",")</f>
        <v>3.5GHz</v>
      </c>
      <c r="N176" t="str">
        <v>23</v>
      </c>
      <c r="O176" t="str">
        <v>512</v>
      </c>
      <c r="P176" t="str">
        <v>100</v>
      </c>
      <c r="Q176" t="str">
        <v>30</v>
      </c>
      <c r="R176" t="str">
        <v>0.000502</v>
      </c>
      <c r="S176" t="str">
        <v>0</v>
      </c>
      <c r="T176" t="str">
        <v>0</v>
      </c>
      <c r="U176" t="str">
        <v>0.1957</v>
      </c>
    </row>
    <row r="177" spans="1:21" x14ac:dyDescent="0.35">
      <c r="A177" t="s">
        <v>190</v>
      </c>
      <c r="M177" t="str" cm="1">
        <f t="array" ref="M177:U177">_xlfn.TEXTSPLIT(A177, ",")</f>
        <v>3.5GHz</v>
      </c>
      <c r="N177" t="str">
        <v>23</v>
      </c>
      <c r="O177" t="str">
        <v>512</v>
      </c>
      <c r="P177" t="str">
        <v>100</v>
      </c>
      <c r="Q177" t="str">
        <v>60</v>
      </c>
      <c r="R177" t="str">
        <v>0.000502</v>
      </c>
      <c r="S177" t="str">
        <v>0</v>
      </c>
      <c r="T177" t="str">
        <v>0</v>
      </c>
      <c r="U177" t="str">
        <v>0.1957</v>
      </c>
    </row>
    <row r="178" spans="1:21" x14ac:dyDescent="0.35">
      <c r="A178" t="s">
        <v>191</v>
      </c>
      <c r="M178" t="str" cm="1">
        <f t="array" ref="M178:U178">_xlfn.TEXTSPLIT(A178, ",")</f>
        <v>3.5GHz</v>
      </c>
      <c r="N178" t="str">
        <v>23</v>
      </c>
      <c r="O178" t="str">
        <v>1200</v>
      </c>
      <c r="P178" t="str">
        <v>1.5</v>
      </c>
      <c r="Q178" t="str">
        <v>0</v>
      </c>
      <c r="R178" t="str">
        <v>0.000502</v>
      </c>
      <c r="S178" t="str">
        <v>0</v>
      </c>
      <c r="T178" t="str">
        <v>0</v>
      </c>
      <c r="U178" t="str">
        <v>0.444401</v>
      </c>
    </row>
    <row r="179" spans="1:21" x14ac:dyDescent="0.35">
      <c r="A179" t="s">
        <v>192</v>
      </c>
      <c r="M179" t="str" cm="1">
        <f t="array" ref="M179:U179">_xlfn.TEXTSPLIT(A179, ",")</f>
        <v>3.5GHz</v>
      </c>
      <c r="N179" t="str">
        <v>23</v>
      </c>
      <c r="O179" t="str">
        <v>1200</v>
      </c>
      <c r="P179" t="str">
        <v>1.5</v>
      </c>
      <c r="Q179" t="str">
        <v>10</v>
      </c>
      <c r="R179" t="str">
        <v>0.000502</v>
      </c>
      <c r="S179" t="str">
        <v>0</v>
      </c>
      <c r="T179" t="str">
        <v>0</v>
      </c>
      <c r="U179" t="str">
        <v>0.444401</v>
      </c>
    </row>
    <row r="180" spans="1:21" x14ac:dyDescent="0.35">
      <c r="A180" t="s">
        <v>193</v>
      </c>
      <c r="M180" t="str" cm="1">
        <f t="array" ref="M180:U180">_xlfn.TEXTSPLIT(A180, ",")</f>
        <v>3.5GHz</v>
      </c>
      <c r="N180" t="str">
        <v>23</v>
      </c>
      <c r="O180" t="str">
        <v>1200</v>
      </c>
      <c r="P180" t="str">
        <v>1.5</v>
      </c>
      <c r="Q180" t="str">
        <v>30</v>
      </c>
      <c r="R180" t="str">
        <v>0.000502</v>
      </c>
      <c r="S180" t="str">
        <v>0</v>
      </c>
      <c r="T180" t="str">
        <v>0</v>
      </c>
      <c r="U180" t="str">
        <v>0.444401</v>
      </c>
    </row>
    <row r="181" spans="1:21" x14ac:dyDescent="0.35">
      <c r="A181" t="s">
        <v>194</v>
      </c>
      <c r="M181" t="str" cm="1">
        <f t="array" ref="M181:U181">_xlfn.TEXTSPLIT(A181, ",")</f>
        <v>3.5GHz</v>
      </c>
      <c r="N181" t="str">
        <v>23</v>
      </c>
      <c r="O181" t="str">
        <v>1200</v>
      </c>
      <c r="P181" t="str">
        <v>1.5</v>
      </c>
      <c r="Q181" t="str">
        <v>60</v>
      </c>
      <c r="R181" t="str">
        <v>0.000502</v>
      </c>
      <c r="S181" t="str">
        <v>0</v>
      </c>
      <c r="T181" t="str">
        <v>0</v>
      </c>
      <c r="U181" t="str">
        <v>0.444401</v>
      </c>
    </row>
    <row r="182" spans="1:21" x14ac:dyDescent="0.35">
      <c r="A182" t="s">
        <v>195</v>
      </c>
      <c r="M182" t="str" cm="1">
        <f t="array" ref="M182:U182">_xlfn.TEXTSPLIT(A182, ",")</f>
        <v>3.5GHz</v>
      </c>
      <c r="N182" t="str">
        <v>23</v>
      </c>
      <c r="O182" t="str">
        <v>1200</v>
      </c>
      <c r="P182" t="str">
        <v>20</v>
      </c>
      <c r="Q182" t="str">
        <v>0</v>
      </c>
      <c r="R182" t="str">
        <v>0.000502</v>
      </c>
      <c r="S182" t="str">
        <v>0</v>
      </c>
      <c r="T182" t="str">
        <v>0</v>
      </c>
      <c r="U182" t="str">
        <v>0.444401</v>
      </c>
    </row>
    <row r="183" spans="1:21" x14ac:dyDescent="0.35">
      <c r="A183" t="s">
        <v>196</v>
      </c>
      <c r="M183" t="str" cm="1">
        <f t="array" ref="M183:U183">_xlfn.TEXTSPLIT(A183, ",")</f>
        <v>3.5GHz</v>
      </c>
      <c r="N183" t="str">
        <v>23</v>
      </c>
      <c r="O183" t="str">
        <v>1200</v>
      </c>
      <c r="P183" t="str">
        <v>20</v>
      </c>
      <c r="Q183" t="str">
        <v>10</v>
      </c>
      <c r="R183" t="str">
        <v>0.000502</v>
      </c>
      <c r="S183" t="str">
        <v>0</v>
      </c>
      <c r="T183" t="str">
        <v>0</v>
      </c>
      <c r="U183" t="str">
        <v>0.444401</v>
      </c>
    </row>
    <row r="184" spans="1:21" x14ac:dyDescent="0.35">
      <c r="A184" t="s">
        <v>197</v>
      </c>
      <c r="M184" t="str" cm="1">
        <f t="array" ref="M184:U184">_xlfn.TEXTSPLIT(A184, ",")</f>
        <v>3.5GHz</v>
      </c>
      <c r="N184" t="str">
        <v>23</v>
      </c>
      <c r="O184" t="str">
        <v>1200</v>
      </c>
      <c r="P184" t="str">
        <v>20</v>
      </c>
      <c r="Q184" t="str">
        <v>30</v>
      </c>
      <c r="R184" t="str">
        <v>0.000502</v>
      </c>
      <c r="S184" t="str">
        <v>0</v>
      </c>
      <c r="T184" t="str">
        <v>0</v>
      </c>
      <c r="U184" t="str">
        <v>0.444401</v>
      </c>
    </row>
    <row r="185" spans="1:21" x14ac:dyDescent="0.35">
      <c r="A185" t="s">
        <v>198</v>
      </c>
      <c r="M185" t="str" cm="1">
        <f t="array" ref="M185:U185">_xlfn.TEXTSPLIT(A185, ",")</f>
        <v>3.5GHz</v>
      </c>
      <c r="N185" t="str">
        <v>23</v>
      </c>
      <c r="O185" t="str">
        <v>1200</v>
      </c>
      <c r="P185" t="str">
        <v>20</v>
      </c>
      <c r="Q185" t="str">
        <v>60</v>
      </c>
      <c r="R185" t="str">
        <v>0.000502</v>
      </c>
      <c r="S185" t="str">
        <v>0</v>
      </c>
      <c r="T185" t="str">
        <v>0</v>
      </c>
      <c r="U185" t="str">
        <v>0.444401</v>
      </c>
    </row>
    <row r="186" spans="1:21" x14ac:dyDescent="0.35">
      <c r="A186" t="s">
        <v>199</v>
      </c>
      <c r="M186" t="str" cm="1">
        <f t="array" ref="M186:U186">_xlfn.TEXTSPLIT(A186, ",")</f>
        <v>3.5GHz</v>
      </c>
      <c r="N186" t="str">
        <v>23</v>
      </c>
      <c r="O186" t="str">
        <v>1200</v>
      </c>
      <c r="P186" t="str">
        <v>50</v>
      </c>
      <c r="Q186" t="str">
        <v>0</v>
      </c>
      <c r="R186" t="str">
        <v>0.000502</v>
      </c>
      <c r="S186" t="str">
        <v>0</v>
      </c>
      <c r="T186" t="str">
        <v>0</v>
      </c>
      <c r="U186" t="str">
        <v>0.444401</v>
      </c>
    </row>
    <row r="187" spans="1:21" x14ac:dyDescent="0.35">
      <c r="A187" t="s">
        <v>200</v>
      </c>
      <c r="M187" t="str" cm="1">
        <f t="array" ref="M187:U187">_xlfn.TEXTSPLIT(A187, ",")</f>
        <v>3.5GHz</v>
      </c>
      <c r="N187" t="str">
        <v>23</v>
      </c>
      <c r="O187" t="str">
        <v>1200</v>
      </c>
      <c r="P187" t="str">
        <v>50</v>
      </c>
      <c r="Q187" t="str">
        <v>10</v>
      </c>
      <c r="R187" t="str">
        <v>0.000502</v>
      </c>
      <c r="S187" t="str">
        <v>0</v>
      </c>
      <c r="T187" t="str">
        <v>0</v>
      </c>
      <c r="U187" t="str">
        <v>0.444401</v>
      </c>
    </row>
    <row r="188" spans="1:21" x14ac:dyDescent="0.35">
      <c r="A188" t="s">
        <v>201</v>
      </c>
      <c r="M188" t="str" cm="1">
        <f t="array" ref="M188:U188">_xlfn.TEXTSPLIT(A188, ",")</f>
        <v>3.5GHz</v>
      </c>
      <c r="N188" t="str">
        <v>23</v>
      </c>
      <c r="O188" t="str">
        <v>1200</v>
      </c>
      <c r="P188" t="str">
        <v>50</v>
      </c>
      <c r="Q188" t="str">
        <v>30</v>
      </c>
      <c r="R188" t="str">
        <v>0.000502</v>
      </c>
      <c r="S188" t="str">
        <v>0</v>
      </c>
      <c r="T188" t="str">
        <v>0</v>
      </c>
      <c r="U188" t="str">
        <v>0.444401</v>
      </c>
    </row>
    <row r="189" spans="1:21" x14ac:dyDescent="0.35">
      <c r="A189" t="s">
        <v>202</v>
      </c>
      <c r="M189" t="str" cm="1">
        <f t="array" ref="M189:U189">_xlfn.TEXTSPLIT(A189, ",")</f>
        <v>3.5GHz</v>
      </c>
      <c r="N189" t="str">
        <v>23</v>
      </c>
      <c r="O189" t="str">
        <v>1200</v>
      </c>
      <c r="P189" t="str">
        <v>50</v>
      </c>
      <c r="Q189" t="str">
        <v>60</v>
      </c>
      <c r="R189" t="str">
        <v>0.000502</v>
      </c>
      <c r="S189" t="str">
        <v>0</v>
      </c>
      <c r="T189" t="str">
        <v>0</v>
      </c>
      <c r="U189" t="str">
        <v>0.444401</v>
      </c>
    </row>
    <row r="190" spans="1:21" x14ac:dyDescent="0.35">
      <c r="A190" t="s">
        <v>203</v>
      </c>
      <c r="M190" t="str" cm="1">
        <f t="array" ref="M190:U190">_xlfn.TEXTSPLIT(A190, ",")</f>
        <v>3.5GHz</v>
      </c>
      <c r="N190" t="str">
        <v>23</v>
      </c>
      <c r="O190" t="str">
        <v>1200</v>
      </c>
      <c r="P190" t="str">
        <v>100</v>
      </c>
      <c r="Q190" t="str">
        <v>0</v>
      </c>
      <c r="R190" t="str">
        <v>0.000502</v>
      </c>
      <c r="S190" t="str">
        <v>0</v>
      </c>
      <c r="T190" t="str">
        <v>0</v>
      </c>
      <c r="U190" t="str">
        <v>0.444401</v>
      </c>
    </row>
    <row r="191" spans="1:21" x14ac:dyDescent="0.35">
      <c r="A191" t="s">
        <v>204</v>
      </c>
      <c r="M191" t="str" cm="1">
        <f t="array" ref="M191:U191">_xlfn.TEXTSPLIT(A191, ",")</f>
        <v>3.5GHz</v>
      </c>
      <c r="N191" t="str">
        <v>23</v>
      </c>
      <c r="O191" t="str">
        <v>1200</v>
      </c>
      <c r="P191" t="str">
        <v>100</v>
      </c>
      <c r="Q191" t="str">
        <v>10</v>
      </c>
      <c r="R191" t="str">
        <v>0.000502</v>
      </c>
      <c r="S191" t="str">
        <v>0</v>
      </c>
      <c r="T191" t="str">
        <v>0</v>
      </c>
      <c r="U191" t="str">
        <v>0.444401</v>
      </c>
    </row>
    <row r="192" spans="1:21" x14ac:dyDescent="0.35">
      <c r="A192" t="s">
        <v>205</v>
      </c>
      <c r="M192" t="str" cm="1">
        <f t="array" ref="M192:U192">_xlfn.TEXTSPLIT(A192, ",")</f>
        <v>3.5GHz</v>
      </c>
      <c r="N192" t="str">
        <v>23</v>
      </c>
      <c r="O192" t="str">
        <v>1200</v>
      </c>
      <c r="P192" t="str">
        <v>100</v>
      </c>
      <c r="Q192" t="str">
        <v>30</v>
      </c>
      <c r="R192" t="str">
        <v>0.000502</v>
      </c>
      <c r="S192" t="str">
        <v>0</v>
      </c>
      <c r="T192" t="str">
        <v>0</v>
      </c>
      <c r="U192" t="str">
        <v>0.444401</v>
      </c>
    </row>
    <row r="193" spans="1:21" x14ac:dyDescent="0.35">
      <c r="A193" t="s">
        <v>206</v>
      </c>
      <c r="M193" t="str" cm="1">
        <f t="array" ref="M193:U193">_xlfn.TEXTSPLIT(A193, ",")</f>
        <v>3.5GHz</v>
      </c>
      <c r="N193" t="str">
        <v>23</v>
      </c>
      <c r="O193" t="str">
        <v>1200</v>
      </c>
      <c r="P193" t="str">
        <v>100</v>
      </c>
      <c r="Q193" t="str">
        <v>60</v>
      </c>
      <c r="R193" t="str">
        <v>0.000502</v>
      </c>
      <c r="S193" t="str">
        <v>0</v>
      </c>
      <c r="T193" t="str">
        <v>0</v>
      </c>
      <c r="U193" t="str">
        <v>0.444401</v>
      </c>
    </row>
    <row r="194" spans="1:21" x14ac:dyDescent="0.35">
      <c r="A194" t="s">
        <v>207</v>
      </c>
      <c r="M194" t="str" cm="1">
        <f t="array" ref="M194:U194">_xlfn.TEXTSPLIT(A194, ",")</f>
        <v>3.5GHz</v>
      </c>
      <c r="N194" t="str">
        <v>30</v>
      </c>
      <c r="O194" t="str">
        <v>128</v>
      </c>
      <c r="P194" t="str">
        <v>1.5</v>
      </c>
      <c r="Q194" t="str">
        <v>0</v>
      </c>
      <c r="R194" t="str">
        <v>0.000502</v>
      </c>
      <c r="S194" t="str">
        <v>0</v>
      </c>
      <c r="T194" t="str">
        <v>0</v>
      </c>
      <c r="U194" t="str">
        <v>0.0568897</v>
      </c>
    </row>
    <row r="195" spans="1:21" x14ac:dyDescent="0.35">
      <c r="A195" t="s">
        <v>208</v>
      </c>
      <c r="M195" t="str" cm="1">
        <f t="array" ref="M195:U195">_xlfn.TEXTSPLIT(A195, ",")</f>
        <v>3.5GHz</v>
      </c>
      <c r="N195" t="str">
        <v>30</v>
      </c>
      <c r="O195" t="str">
        <v>128</v>
      </c>
      <c r="P195" t="str">
        <v>1.5</v>
      </c>
      <c r="Q195" t="str">
        <v>10</v>
      </c>
      <c r="R195" t="str">
        <v>0.000502</v>
      </c>
      <c r="S195" t="str">
        <v>0</v>
      </c>
      <c r="T195" t="str">
        <v>0</v>
      </c>
      <c r="U195" t="str">
        <v>0.0568897</v>
      </c>
    </row>
    <row r="196" spans="1:21" x14ac:dyDescent="0.35">
      <c r="A196" t="s">
        <v>209</v>
      </c>
      <c r="M196" t="str" cm="1">
        <f t="array" ref="M196:U196">_xlfn.TEXTSPLIT(A196, ",")</f>
        <v>3.5GHz</v>
      </c>
      <c r="N196" t="str">
        <v>30</v>
      </c>
      <c r="O196" t="str">
        <v>128</v>
      </c>
      <c r="P196" t="str">
        <v>1.5</v>
      </c>
      <c r="Q196" t="str">
        <v>30</v>
      </c>
      <c r="R196" t="str">
        <v>0.000502</v>
      </c>
      <c r="S196" t="str">
        <v>0</v>
      </c>
      <c r="T196" t="str">
        <v>0</v>
      </c>
      <c r="U196" t="str">
        <v>0.0568897</v>
      </c>
    </row>
    <row r="197" spans="1:21" x14ac:dyDescent="0.35">
      <c r="A197" t="s">
        <v>210</v>
      </c>
      <c r="M197" t="str" cm="1">
        <f t="array" ref="M197:U197">_xlfn.TEXTSPLIT(A197, ",")</f>
        <v>3.5GHz</v>
      </c>
      <c r="N197" t="str">
        <v>30</v>
      </c>
      <c r="O197" t="str">
        <v>128</v>
      </c>
      <c r="P197" t="str">
        <v>1.5</v>
      </c>
      <c r="Q197" t="str">
        <v>60</v>
      </c>
      <c r="R197" t="str">
        <v>0.000502</v>
      </c>
      <c r="S197" t="str">
        <v>0</v>
      </c>
      <c r="T197" t="str">
        <v>0</v>
      </c>
      <c r="U197" t="str">
        <v>0.0568897</v>
      </c>
    </row>
    <row r="198" spans="1:21" x14ac:dyDescent="0.35">
      <c r="A198" t="s">
        <v>211</v>
      </c>
      <c r="M198" t="str" cm="1">
        <f t="array" ref="M198:U198">_xlfn.TEXTSPLIT(A198, ",")</f>
        <v>3.5GHz</v>
      </c>
      <c r="N198" t="str">
        <v>30</v>
      </c>
      <c r="O198" t="str">
        <v>128</v>
      </c>
      <c r="P198" t="str">
        <v>20</v>
      </c>
      <c r="Q198" t="str">
        <v>0</v>
      </c>
      <c r="R198" t="str">
        <v>0.000502</v>
      </c>
      <c r="S198" t="str">
        <v>0</v>
      </c>
      <c r="T198" t="str">
        <v>0</v>
      </c>
      <c r="U198" t="str">
        <v>0.0568897</v>
      </c>
    </row>
    <row r="199" spans="1:21" x14ac:dyDescent="0.35">
      <c r="A199" t="s">
        <v>212</v>
      </c>
      <c r="M199" t="str" cm="1">
        <f t="array" ref="M199:U199">_xlfn.TEXTSPLIT(A199, ",")</f>
        <v>3.5GHz</v>
      </c>
      <c r="N199" t="str">
        <v>30</v>
      </c>
      <c r="O199" t="str">
        <v>128</v>
      </c>
      <c r="P199" t="str">
        <v>20</v>
      </c>
      <c r="Q199" t="str">
        <v>10</v>
      </c>
      <c r="R199" t="str">
        <v>0.000502</v>
      </c>
      <c r="S199" t="str">
        <v>0</v>
      </c>
      <c r="T199" t="str">
        <v>0</v>
      </c>
      <c r="U199" t="str">
        <v>0.0568897</v>
      </c>
    </row>
    <row r="200" spans="1:21" x14ac:dyDescent="0.35">
      <c r="A200" t="s">
        <v>213</v>
      </c>
      <c r="M200" t="str" cm="1">
        <f t="array" ref="M200:U200">_xlfn.TEXTSPLIT(A200, ",")</f>
        <v>3.5GHz</v>
      </c>
      <c r="N200" t="str">
        <v>30</v>
      </c>
      <c r="O200" t="str">
        <v>128</v>
      </c>
      <c r="P200" t="str">
        <v>20</v>
      </c>
      <c r="Q200" t="str">
        <v>30</v>
      </c>
      <c r="R200" t="str">
        <v>0.000502</v>
      </c>
      <c r="S200" t="str">
        <v>0</v>
      </c>
      <c r="T200" t="str">
        <v>0</v>
      </c>
      <c r="U200" t="str">
        <v>0.0568897</v>
      </c>
    </row>
    <row r="201" spans="1:21" x14ac:dyDescent="0.35">
      <c r="A201" t="s">
        <v>214</v>
      </c>
      <c r="M201" t="str" cm="1">
        <f t="array" ref="M201:U201">_xlfn.TEXTSPLIT(A201, ",")</f>
        <v>3.5GHz</v>
      </c>
      <c r="N201" t="str">
        <v>30</v>
      </c>
      <c r="O201" t="str">
        <v>128</v>
      </c>
      <c r="P201" t="str">
        <v>20</v>
      </c>
      <c r="Q201" t="str">
        <v>60</v>
      </c>
      <c r="R201" t="str">
        <v>0.000502</v>
      </c>
      <c r="S201" t="str">
        <v>0</v>
      </c>
      <c r="T201" t="str">
        <v>0</v>
      </c>
      <c r="U201" t="str">
        <v>0.0568897</v>
      </c>
    </row>
    <row r="202" spans="1:21" x14ac:dyDescent="0.35">
      <c r="A202" t="s">
        <v>215</v>
      </c>
      <c r="M202" t="str" cm="1">
        <f t="array" ref="M202:U202">_xlfn.TEXTSPLIT(A202, ",")</f>
        <v>3.5GHz</v>
      </c>
      <c r="N202" t="str">
        <v>30</v>
      </c>
      <c r="O202" t="str">
        <v>128</v>
      </c>
      <c r="P202" t="str">
        <v>50</v>
      </c>
      <c r="Q202" t="str">
        <v>0</v>
      </c>
      <c r="R202" t="str">
        <v>0.000502</v>
      </c>
      <c r="S202" t="str">
        <v>0</v>
      </c>
      <c r="T202" t="str">
        <v>0</v>
      </c>
      <c r="U202" t="str">
        <v>0.0568897</v>
      </c>
    </row>
    <row r="203" spans="1:21" x14ac:dyDescent="0.35">
      <c r="A203" t="s">
        <v>216</v>
      </c>
      <c r="M203" t="str" cm="1">
        <f t="array" ref="M203:U203">_xlfn.TEXTSPLIT(A203, ",")</f>
        <v>3.5GHz</v>
      </c>
      <c r="N203" t="str">
        <v>30</v>
      </c>
      <c r="O203" t="str">
        <v>128</v>
      </c>
      <c r="P203" t="str">
        <v>50</v>
      </c>
      <c r="Q203" t="str">
        <v>10</v>
      </c>
      <c r="R203" t="str">
        <v>0.000502</v>
      </c>
      <c r="S203" t="str">
        <v>0</v>
      </c>
      <c r="T203" t="str">
        <v>0</v>
      </c>
      <c r="U203" t="str">
        <v>0.0568897</v>
      </c>
    </row>
    <row r="204" spans="1:21" x14ac:dyDescent="0.35">
      <c r="A204" t="s">
        <v>217</v>
      </c>
      <c r="M204" t="str" cm="1">
        <f t="array" ref="M204:U204">_xlfn.TEXTSPLIT(A204, ",")</f>
        <v>3.5GHz</v>
      </c>
      <c r="N204" t="str">
        <v>30</v>
      </c>
      <c r="O204" t="str">
        <v>128</v>
      </c>
      <c r="P204" t="str">
        <v>50</v>
      </c>
      <c r="Q204" t="str">
        <v>30</v>
      </c>
      <c r="R204" t="str">
        <v>0.000502</v>
      </c>
      <c r="S204" t="str">
        <v>0</v>
      </c>
      <c r="T204" t="str">
        <v>0</v>
      </c>
      <c r="U204" t="str">
        <v>0.0568897</v>
      </c>
    </row>
    <row r="205" spans="1:21" x14ac:dyDescent="0.35">
      <c r="A205" t="s">
        <v>218</v>
      </c>
      <c r="M205" t="str" cm="1">
        <f t="array" ref="M205:U205">_xlfn.TEXTSPLIT(A205, ",")</f>
        <v>3.5GHz</v>
      </c>
      <c r="N205" t="str">
        <v>30</v>
      </c>
      <c r="O205" t="str">
        <v>128</v>
      </c>
      <c r="P205" t="str">
        <v>50</v>
      </c>
      <c r="Q205" t="str">
        <v>60</v>
      </c>
      <c r="R205" t="str">
        <v>0.000502</v>
      </c>
      <c r="S205" t="str">
        <v>0</v>
      </c>
      <c r="T205" t="str">
        <v>0</v>
      </c>
      <c r="U205" t="str">
        <v>0.0568897</v>
      </c>
    </row>
    <row r="206" spans="1:21" x14ac:dyDescent="0.35">
      <c r="A206" t="s">
        <v>219</v>
      </c>
      <c r="M206" t="str" cm="1">
        <f t="array" ref="M206:U206">_xlfn.TEXTSPLIT(A206, ",")</f>
        <v>3.5GHz</v>
      </c>
      <c r="N206" t="str">
        <v>30</v>
      </c>
      <c r="O206" t="str">
        <v>128</v>
      </c>
      <c r="P206" t="str">
        <v>100</v>
      </c>
      <c r="Q206" t="str">
        <v>0</v>
      </c>
      <c r="R206" t="str">
        <v>0.000502</v>
      </c>
      <c r="S206" t="str">
        <v>0</v>
      </c>
      <c r="T206" t="str">
        <v>0</v>
      </c>
      <c r="U206" t="str">
        <v>0.0568897</v>
      </c>
    </row>
    <row r="207" spans="1:21" x14ac:dyDescent="0.35">
      <c r="A207" t="s">
        <v>220</v>
      </c>
      <c r="M207" t="str" cm="1">
        <f t="array" ref="M207:U207">_xlfn.TEXTSPLIT(A207, ",")</f>
        <v>3.5GHz</v>
      </c>
      <c r="N207" t="str">
        <v>30</v>
      </c>
      <c r="O207" t="str">
        <v>128</v>
      </c>
      <c r="P207" t="str">
        <v>100</v>
      </c>
      <c r="Q207" t="str">
        <v>10</v>
      </c>
      <c r="R207" t="str">
        <v>0.000502</v>
      </c>
      <c r="S207" t="str">
        <v>0</v>
      </c>
      <c r="T207" t="str">
        <v>0</v>
      </c>
      <c r="U207" t="str">
        <v>0.0568897</v>
      </c>
    </row>
    <row r="208" spans="1:21" x14ac:dyDescent="0.35">
      <c r="A208" t="s">
        <v>221</v>
      </c>
      <c r="M208" t="str" cm="1">
        <f t="array" ref="M208:U208">_xlfn.TEXTSPLIT(A208, ",")</f>
        <v>3.5GHz</v>
      </c>
      <c r="N208" t="str">
        <v>30</v>
      </c>
      <c r="O208" t="str">
        <v>128</v>
      </c>
      <c r="P208" t="str">
        <v>100</v>
      </c>
      <c r="Q208" t="str">
        <v>30</v>
      </c>
      <c r="R208" t="str">
        <v>0.000502</v>
      </c>
      <c r="S208" t="str">
        <v>0</v>
      </c>
      <c r="T208" t="str">
        <v>0</v>
      </c>
      <c r="U208" t="str">
        <v>0.0568897</v>
      </c>
    </row>
    <row r="209" spans="1:21" x14ac:dyDescent="0.35">
      <c r="A209" t="s">
        <v>222</v>
      </c>
      <c r="M209" t="str" cm="1">
        <f t="array" ref="M209:U209">_xlfn.TEXTSPLIT(A209, ",")</f>
        <v>3.5GHz</v>
      </c>
      <c r="N209" t="str">
        <v>30</v>
      </c>
      <c r="O209" t="str">
        <v>128</v>
      </c>
      <c r="P209" t="str">
        <v>100</v>
      </c>
      <c r="Q209" t="str">
        <v>60</v>
      </c>
      <c r="R209" t="str">
        <v>0.000502</v>
      </c>
      <c r="S209" t="str">
        <v>0</v>
      </c>
      <c r="T209" t="str">
        <v>0</v>
      </c>
      <c r="U209" t="str">
        <v>0.0568897</v>
      </c>
    </row>
    <row r="210" spans="1:21" x14ac:dyDescent="0.35">
      <c r="A210" t="s">
        <v>223</v>
      </c>
      <c r="M210" t="str" cm="1">
        <f t="array" ref="M210:U210">_xlfn.TEXTSPLIT(A210, ",")</f>
        <v>3.5GHz</v>
      </c>
      <c r="N210" t="str">
        <v>30</v>
      </c>
      <c r="O210" t="str">
        <v>512</v>
      </c>
      <c r="P210" t="str">
        <v>1.5</v>
      </c>
      <c r="Q210" t="str">
        <v>0</v>
      </c>
      <c r="R210" t="str">
        <v>0.000502</v>
      </c>
      <c r="S210" t="str">
        <v>0</v>
      </c>
      <c r="T210" t="str">
        <v>0</v>
      </c>
      <c r="U210" t="str">
        <v>0.1957</v>
      </c>
    </row>
    <row r="211" spans="1:21" x14ac:dyDescent="0.35">
      <c r="A211" t="s">
        <v>224</v>
      </c>
      <c r="M211" t="str" cm="1">
        <f t="array" ref="M211:U211">_xlfn.TEXTSPLIT(A211, ",")</f>
        <v>3.5GHz</v>
      </c>
      <c r="N211" t="str">
        <v>30</v>
      </c>
      <c r="O211" t="str">
        <v>512</v>
      </c>
      <c r="P211" t="str">
        <v>1.5</v>
      </c>
      <c r="Q211" t="str">
        <v>10</v>
      </c>
      <c r="R211" t="str">
        <v>0.000502</v>
      </c>
      <c r="S211" t="str">
        <v>0</v>
      </c>
      <c r="T211" t="str">
        <v>0</v>
      </c>
      <c r="U211" t="str">
        <v>0.1957</v>
      </c>
    </row>
    <row r="212" spans="1:21" x14ac:dyDescent="0.35">
      <c r="A212" t="s">
        <v>225</v>
      </c>
      <c r="M212" t="str" cm="1">
        <f t="array" ref="M212:U212">_xlfn.TEXTSPLIT(A212, ",")</f>
        <v>3.5GHz</v>
      </c>
      <c r="N212" t="str">
        <v>30</v>
      </c>
      <c r="O212" t="str">
        <v>512</v>
      </c>
      <c r="P212" t="str">
        <v>1.5</v>
      </c>
      <c r="Q212" t="str">
        <v>30</v>
      </c>
      <c r="R212" t="str">
        <v>0.000502</v>
      </c>
      <c r="S212" t="str">
        <v>0</v>
      </c>
      <c r="T212" t="str">
        <v>0</v>
      </c>
      <c r="U212" t="str">
        <v>0.1957</v>
      </c>
    </row>
    <row r="213" spans="1:21" x14ac:dyDescent="0.35">
      <c r="A213" t="s">
        <v>226</v>
      </c>
      <c r="M213" t="str" cm="1">
        <f t="array" ref="M213:U213">_xlfn.TEXTSPLIT(A213, ",")</f>
        <v>3.5GHz</v>
      </c>
      <c r="N213" t="str">
        <v>30</v>
      </c>
      <c r="O213" t="str">
        <v>512</v>
      </c>
      <c r="P213" t="str">
        <v>1.5</v>
      </c>
      <c r="Q213" t="str">
        <v>60</v>
      </c>
      <c r="R213" t="str">
        <v>0.000502</v>
      </c>
      <c r="S213" t="str">
        <v>0</v>
      </c>
      <c r="T213" t="str">
        <v>0</v>
      </c>
      <c r="U213" t="str">
        <v>0.1957</v>
      </c>
    </row>
    <row r="214" spans="1:21" x14ac:dyDescent="0.35">
      <c r="A214" t="s">
        <v>227</v>
      </c>
      <c r="M214" t="str" cm="1">
        <f t="array" ref="M214:U214">_xlfn.TEXTSPLIT(A214, ",")</f>
        <v>3.5GHz</v>
      </c>
      <c r="N214" t="str">
        <v>30</v>
      </c>
      <c r="O214" t="str">
        <v>512</v>
      </c>
      <c r="P214" t="str">
        <v>20</v>
      </c>
      <c r="Q214" t="str">
        <v>0</v>
      </c>
      <c r="R214" t="str">
        <v>0.000502</v>
      </c>
      <c r="S214" t="str">
        <v>0</v>
      </c>
      <c r="T214" t="str">
        <v>0</v>
      </c>
      <c r="U214" t="str">
        <v>0.1957</v>
      </c>
    </row>
    <row r="215" spans="1:21" x14ac:dyDescent="0.35">
      <c r="A215" t="s">
        <v>228</v>
      </c>
      <c r="M215" t="str" cm="1">
        <f t="array" ref="M215:U215">_xlfn.TEXTSPLIT(A215, ",")</f>
        <v>3.5GHz</v>
      </c>
      <c r="N215" t="str">
        <v>30</v>
      </c>
      <c r="O215" t="str">
        <v>512</v>
      </c>
      <c r="P215" t="str">
        <v>20</v>
      </c>
      <c r="Q215" t="str">
        <v>10</v>
      </c>
      <c r="R215" t="str">
        <v>0.000502</v>
      </c>
      <c r="S215" t="str">
        <v>0</v>
      </c>
      <c r="T215" t="str">
        <v>0</v>
      </c>
      <c r="U215" t="str">
        <v>0.1957</v>
      </c>
    </row>
    <row r="216" spans="1:21" x14ac:dyDescent="0.35">
      <c r="A216" t="s">
        <v>229</v>
      </c>
      <c r="M216" t="str" cm="1">
        <f t="array" ref="M216:U216">_xlfn.TEXTSPLIT(A216, ",")</f>
        <v>3.5GHz</v>
      </c>
      <c r="N216" t="str">
        <v>30</v>
      </c>
      <c r="O216" t="str">
        <v>512</v>
      </c>
      <c r="P216" t="str">
        <v>20</v>
      </c>
      <c r="Q216" t="str">
        <v>30</v>
      </c>
      <c r="R216" t="str">
        <v>0.000502</v>
      </c>
      <c r="S216" t="str">
        <v>0</v>
      </c>
      <c r="T216" t="str">
        <v>0</v>
      </c>
      <c r="U216" t="str">
        <v>0.1957</v>
      </c>
    </row>
    <row r="217" spans="1:21" x14ac:dyDescent="0.35">
      <c r="A217" t="s">
        <v>230</v>
      </c>
      <c r="M217" t="str" cm="1">
        <f t="array" ref="M217:U217">_xlfn.TEXTSPLIT(A217, ",")</f>
        <v>3.5GHz</v>
      </c>
      <c r="N217" t="str">
        <v>30</v>
      </c>
      <c r="O217" t="str">
        <v>512</v>
      </c>
      <c r="P217" t="str">
        <v>20</v>
      </c>
      <c r="Q217" t="str">
        <v>60</v>
      </c>
      <c r="R217" t="str">
        <v>0.000502</v>
      </c>
      <c r="S217" t="str">
        <v>0</v>
      </c>
      <c r="T217" t="str">
        <v>0</v>
      </c>
      <c r="U217" t="str">
        <v>0.1957</v>
      </c>
    </row>
    <row r="218" spans="1:21" x14ac:dyDescent="0.35">
      <c r="A218" t="s">
        <v>231</v>
      </c>
      <c r="M218" t="str" cm="1">
        <f t="array" ref="M218:U218">_xlfn.TEXTSPLIT(A218, ",")</f>
        <v>3.5GHz</v>
      </c>
      <c r="N218" t="str">
        <v>30</v>
      </c>
      <c r="O218" t="str">
        <v>512</v>
      </c>
      <c r="P218" t="str">
        <v>50</v>
      </c>
      <c r="Q218" t="str">
        <v>0</v>
      </c>
      <c r="R218" t="str">
        <v>0.000502</v>
      </c>
      <c r="S218" t="str">
        <v>0</v>
      </c>
      <c r="T218" t="str">
        <v>0</v>
      </c>
      <c r="U218" t="str">
        <v>0.1957</v>
      </c>
    </row>
    <row r="219" spans="1:21" x14ac:dyDescent="0.35">
      <c r="A219" t="s">
        <v>232</v>
      </c>
      <c r="M219" t="str" cm="1">
        <f t="array" ref="M219:U219">_xlfn.TEXTSPLIT(A219, ",")</f>
        <v>3.5GHz</v>
      </c>
      <c r="N219" t="str">
        <v>30</v>
      </c>
      <c r="O219" t="str">
        <v>512</v>
      </c>
      <c r="P219" t="str">
        <v>50</v>
      </c>
      <c r="Q219" t="str">
        <v>10</v>
      </c>
      <c r="R219" t="str">
        <v>0.000502</v>
      </c>
      <c r="S219" t="str">
        <v>0</v>
      </c>
      <c r="T219" t="str">
        <v>0</v>
      </c>
      <c r="U219" t="str">
        <v>0.1957</v>
      </c>
    </row>
    <row r="220" spans="1:21" x14ac:dyDescent="0.35">
      <c r="A220" t="s">
        <v>233</v>
      </c>
      <c r="M220" t="str" cm="1">
        <f t="array" ref="M220:U220">_xlfn.TEXTSPLIT(A220, ",")</f>
        <v>3.5GHz</v>
      </c>
      <c r="N220" t="str">
        <v>30</v>
      </c>
      <c r="O220" t="str">
        <v>512</v>
      </c>
      <c r="P220" t="str">
        <v>50</v>
      </c>
      <c r="Q220" t="str">
        <v>30</v>
      </c>
      <c r="R220" t="str">
        <v>0.000502</v>
      </c>
      <c r="S220" t="str">
        <v>0</v>
      </c>
      <c r="T220" t="str">
        <v>0</v>
      </c>
      <c r="U220" t="str">
        <v>0.1957</v>
      </c>
    </row>
    <row r="221" spans="1:21" x14ac:dyDescent="0.35">
      <c r="A221" t="s">
        <v>234</v>
      </c>
      <c r="M221" t="str" cm="1">
        <f t="array" ref="M221:U221">_xlfn.TEXTSPLIT(A221, ",")</f>
        <v>3.5GHz</v>
      </c>
      <c r="N221" t="str">
        <v>30</v>
      </c>
      <c r="O221" t="str">
        <v>512</v>
      </c>
      <c r="P221" t="str">
        <v>50</v>
      </c>
      <c r="Q221" t="str">
        <v>60</v>
      </c>
      <c r="R221" t="str">
        <v>0.000502</v>
      </c>
      <c r="S221" t="str">
        <v>0</v>
      </c>
      <c r="T221" t="str">
        <v>0</v>
      </c>
      <c r="U221" t="str">
        <v>0.1957</v>
      </c>
    </row>
    <row r="222" spans="1:21" x14ac:dyDescent="0.35">
      <c r="A222" t="s">
        <v>235</v>
      </c>
      <c r="M222" t="str" cm="1">
        <f t="array" ref="M222:U222">_xlfn.TEXTSPLIT(A222, ",")</f>
        <v>3.5GHz</v>
      </c>
      <c r="N222" t="str">
        <v>30</v>
      </c>
      <c r="O222" t="str">
        <v>512</v>
      </c>
      <c r="P222" t="str">
        <v>100</v>
      </c>
      <c r="Q222" t="str">
        <v>0</v>
      </c>
      <c r="R222" t="str">
        <v>0.000502</v>
      </c>
      <c r="S222" t="str">
        <v>0</v>
      </c>
      <c r="T222" t="str">
        <v>0</v>
      </c>
      <c r="U222" t="str">
        <v>0.1957</v>
      </c>
    </row>
    <row r="223" spans="1:21" x14ac:dyDescent="0.35">
      <c r="A223" t="s">
        <v>236</v>
      </c>
      <c r="M223" t="str" cm="1">
        <f t="array" ref="M223:U223">_xlfn.TEXTSPLIT(A223, ",")</f>
        <v>3.5GHz</v>
      </c>
      <c r="N223" t="str">
        <v>30</v>
      </c>
      <c r="O223" t="str">
        <v>512</v>
      </c>
      <c r="P223" t="str">
        <v>100</v>
      </c>
      <c r="Q223" t="str">
        <v>10</v>
      </c>
      <c r="R223" t="str">
        <v>0.000502</v>
      </c>
      <c r="S223" t="str">
        <v>0</v>
      </c>
      <c r="T223" t="str">
        <v>0</v>
      </c>
      <c r="U223" t="str">
        <v>0.1957</v>
      </c>
    </row>
    <row r="224" spans="1:21" x14ac:dyDescent="0.35">
      <c r="A224" t="s">
        <v>237</v>
      </c>
      <c r="M224" t="str" cm="1">
        <f t="array" ref="M224:U224">_xlfn.TEXTSPLIT(A224, ",")</f>
        <v>3.5GHz</v>
      </c>
      <c r="N224" t="str">
        <v>30</v>
      </c>
      <c r="O224" t="str">
        <v>512</v>
      </c>
      <c r="P224" t="str">
        <v>100</v>
      </c>
      <c r="Q224" t="str">
        <v>30</v>
      </c>
      <c r="R224" t="str">
        <v>0.000502</v>
      </c>
      <c r="S224" t="str">
        <v>0</v>
      </c>
      <c r="T224" t="str">
        <v>0</v>
      </c>
      <c r="U224" t="str">
        <v>0.1957</v>
      </c>
    </row>
    <row r="225" spans="1:21" x14ac:dyDescent="0.35">
      <c r="A225" t="s">
        <v>238</v>
      </c>
      <c r="M225" t="str" cm="1">
        <f t="array" ref="M225:U225">_xlfn.TEXTSPLIT(A225, ",")</f>
        <v>3.5GHz</v>
      </c>
      <c r="N225" t="str">
        <v>30</v>
      </c>
      <c r="O225" t="str">
        <v>512</v>
      </c>
      <c r="P225" t="str">
        <v>100</v>
      </c>
      <c r="Q225" t="str">
        <v>60</v>
      </c>
      <c r="R225" t="str">
        <v>0.000502</v>
      </c>
      <c r="S225" t="str">
        <v>0</v>
      </c>
      <c r="T225" t="str">
        <v>0</v>
      </c>
      <c r="U225" t="str">
        <v>0.1957</v>
      </c>
    </row>
    <row r="226" spans="1:21" x14ac:dyDescent="0.35">
      <c r="A226" t="s">
        <v>239</v>
      </c>
      <c r="M226" t="str" cm="1">
        <f t="array" ref="M226:U226">_xlfn.TEXTSPLIT(A226, ",")</f>
        <v>3.5GHz</v>
      </c>
      <c r="N226" t="str">
        <v>30</v>
      </c>
      <c r="O226" t="str">
        <v>1200</v>
      </c>
      <c r="P226" t="str">
        <v>1.5</v>
      </c>
      <c r="Q226" t="str">
        <v>0</v>
      </c>
      <c r="R226" t="str">
        <v>0.000502</v>
      </c>
      <c r="S226" t="str">
        <v>0</v>
      </c>
      <c r="T226" t="str">
        <v>0</v>
      </c>
      <c r="U226" t="str">
        <v>0.444401</v>
      </c>
    </row>
    <row r="227" spans="1:21" x14ac:dyDescent="0.35">
      <c r="A227" t="s">
        <v>240</v>
      </c>
      <c r="M227" t="str" cm="1">
        <f t="array" ref="M227:U227">_xlfn.TEXTSPLIT(A227, ",")</f>
        <v>3.5GHz</v>
      </c>
      <c r="N227" t="str">
        <v>30</v>
      </c>
      <c r="O227" t="str">
        <v>1200</v>
      </c>
      <c r="P227" t="str">
        <v>1.5</v>
      </c>
      <c r="Q227" t="str">
        <v>10</v>
      </c>
      <c r="R227" t="str">
        <v>0.000502</v>
      </c>
      <c r="S227" t="str">
        <v>0</v>
      </c>
      <c r="T227" t="str">
        <v>0</v>
      </c>
      <c r="U227" t="str">
        <v>0.444401</v>
      </c>
    </row>
    <row r="228" spans="1:21" x14ac:dyDescent="0.35">
      <c r="A228" t="s">
        <v>241</v>
      </c>
      <c r="M228" t="str" cm="1">
        <f t="array" ref="M228:U228">_xlfn.TEXTSPLIT(A228, ",")</f>
        <v>3.5GHz</v>
      </c>
      <c r="N228" t="str">
        <v>30</v>
      </c>
      <c r="O228" t="str">
        <v>1200</v>
      </c>
      <c r="P228" t="str">
        <v>1.5</v>
      </c>
      <c r="Q228" t="str">
        <v>30</v>
      </c>
      <c r="R228" t="str">
        <v>0.000502</v>
      </c>
      <c r="S228" t="str">
        <v>0</v>
      </c>
      <c r="T228" t="str">
        <v>0</v>
      </c>
      <c r="U228" t="str">
        <v>0.444401</v>
      </c>
    </row>
    <row r="229" spans="1:21" x14ac:dyDescent="0.35">
      <c r="A229" t="s">
        <v>242</v>
      </c>
      <c r="M229" t="str" cm="1">
        <f t="array" ref="M229:U229">_xlfn.TEXTSPLIT(A229, ",")</f>
        <v>3.5GHz</v>
      </c>
      <c r="N229" t="str">
        <v>30</v>
      </c>
      <c r="O229" t="str">
        <v>1200</v>
      </c>
      <c r="P229" t="str">
        <v>1.5</v>
      </c>
      <c r="Q229" t="str">
        <v>60</v>
      </c>
      <c r="R229" t="str">
        <v>0.000502</v>
      </c>
      <c r="S229" t="str">
        <v>0</v>
      </c>
      <c r="T229" t="str">
        <v>0</v>
      </c>
      <c r="U229" t="str">
        <v>0.444401</v>
      </c>
    </row>
    <row r="230" spans="1:21" x14ac:dyDescent="0.35">
      <c r="A230" t="s">
        <v>243</v>
      </c>
      <c r="M230" t="str" cm="1">
        <f t="array" ref="M230:U230">_xlfn.TEXTSPLIT(A230, ",")</f>
        <v>3.5GHz</v>
      </c>
      <c r="N230" t="str">
        <v>30</v>
      </c>
      <c r="O230" t="str">
        <v>1200</v>
      </c>
      <c r="P230" t="str">
        <v>20</v>
      </c>
      <c r="Q230" t="str">
        <v>0</v>
      </c>
      <c r="R230" t="str">
        <v>0.000502</v>
      </c>
      <c r="S230" t="str">
        <v>0</v>
      </c>
      <c r="T230" t="str">
        <v>0</v>
      </c>
      <c r="U230" t="str">
        <v>0.444401</v>
      </c>
    </row>
    <row r="231" spans="1:21" x14ac:dyDescent="0.35">
      <c r="A231" t="s">
        <v>244</v>
      </c>
      <c r="M231" t="str" cm="1">
        <f t="array" ref="M231:U231">_xlfn.TEXTSPLIT(A231, ",")</f>
        <v>3.5GHz</v>
      </c>
      <c r="N231" t="str">
        <v>30</v>
      </c>
      <c r="O231" t="str">
        <v>1200</v>
      </c>
      <c r="P231" t="str">
        <v>20</v>
      </c>
      <c r="Q231" t="str">
        <v>10</v>
      </c>
      <c r="R231" t="str">
        <v>0.000502</v>
      </c>
      <c r="S231" t="str">
        <v>0</v>
      </c>
      <c r="T231" t="str">
        <v>0</v>
      </c>
      <c r="U231" t="str">
        <v>0.444401</v>
      </c>
    </row>
    <row r="232" spans="1:21" x14ac:dyDescent="0.35">
      <c r="A232" t="s">
        <v>245</v>
      </c>
      <c r="M232" t="str" cm="1">
        <f t="array" ref="M232:U232">_xlfn.TEXTSPLIT(A232, ",")</f>
        <v>3.5GHz</v>
      </c>
      <c r="N232" t="str">
        <v>30</v>
      </c>
      <c r="O232" t="str">
        <v>1200</v>
      </c>
      <c r="P232" t="str">
        <v>20</v>
      </c>
      <c r="Q232" t="str">
        <v>30</v>
      </c>
      <c r="R232" t="str">
        <v>0.000502</v>
      </c>
      <c r="S232" t="str">
        <v>0</v>
      </c>
      <c r="T232" t="str">
        <v>0</v>
      </c>
      <c r="U232" t="str">
        <v>0.444401</v>
      </c>
    </row>
    <row r="233" spans="1:21" x14ac:dyDescent="0.35">
      <c r="A233" t="s">
        <v>246</v>
      </c>
      <c r="M233" t="str" cm="1">
        <f t="array" ref="M233:U233">_xlfn.TEXTSPLIT(A233, ",")</f>
        <v>3.5GHz</v>
      </c>
      <c r="N233" t="str">
        <v>30</v>
      </c>
      <c r="O233" t="str">
        <v>1200</v>
      </c>
      <c r="P233" t="str">
        <v>20</v>
      </c>
      <c r="Q233" t="str">
        <v>60</v>
      </c>
      <c r="R233" t="str">
        <v>0.000502</v>
      </c>
      <c r="S233" t="str">
        <v>0</v>
      </c>
      <c r="T233" t="str">
        <v>0</v>
      </c>
      <c r="U233" t="str">
        <v>0.444401</v>
      </c>
    </row>
    <row r="234" spans="1:21" x14ac:dyDescent="0.35">
      <c r="A234" t="s">
        <v>247</v>
      </c>
      <c r="M234" t="str" cm="1">
        <f t="array" ref="M234:U234">_xlfn.TEXTSPLIT(A234, ",")</f>
        <v>3.5GHz</v>
      </c>
      <c r="N234" t="str">
        <v>30</v>
      </c>
      <c r="O234" t="str">
        <v>1200</v>
      </c>
      <c r="P234" t="str">
        <v>50</v>
      </c>
      <c r="Q234" t="str">
        <v>0</v>
      </c>
      <c r="R234" t="str">
        <v>0.000502</v>
      </c>
      <c r="S234" t="str">
        <v>0</v>
      </c>
      <c r="T234" t="str">
        <v>0</v>
      </c>
      <c r="U234" t="str">
        <v>0.444401</v>
      </c>
    </row>
    <row r="235" spans="1:21" x14ac:dyDescent="0.35">
      <c r="A235" t="s">
        <v>248</v>
      </c>
      <c r="M235" t="str" cm="1">
        <f t="array" ref="M235:U235">_xlfn.TEXTSPLIT(A235, ",")</f>
        <v>3.5GHz</v>
      </c>
      <c r="N235" t="str">
        <v>30</v>
      </c>
      <c r="O235" t="str">
        <v>1200</v>
      </c>
      <c r="P235" t="str">
        <v>50</v>
      </c>
      <c r="Q235" t="str">
        <v>10</v>
      </c>
      <c r="R235" t="str">
        <v>0.000502</v>
      </c>
      <c r="S235" t="str">
        <v>0</v>
      </c>
      <c r="T235" t="str">
        <v>0</v>
      </c>
      <c r="U235" t="str">
        <v>0.444401</v>
      </c>
    </row>
    <row r="236" spans="1:21" x14ac:dyDescent="0.35">
      <c r="A236" t="s">
        <v>249</v>
      </c>
      <c r="M236" t="str" cm="1">
        <f t="array" ref="M236:U236">_xlfn.TEXTSPLIT(A236, ",")</f>
        <v>3.5GHz</v>
      </c>
      <c r="N236" t="str">
        <v>30</v>
      </c>
      <c r="O236" t="str">
        <v>1200</v>
      </c>
      <c r="P236" t="str">
        <v>50</v>
      </c>
      <c r="Q236" t="str">
        <v>30</v>
      </c>
      <c r="R236" t="str">
        <v>0.000502</v>
      </c>
      <c r="S236" t="str">
        <v>0</v>
      </c>
      <c r="T236" t="str">
        <v>0</v>
      </c>
      <c r="U236" t="str">
        <v>0.444401</v>
      </c>
    </row>
    <row r="237" spans="1:21" x14ac:dyDescent="0.35">
      <c r="A237" t="s">
        <v>250</v>
      </c>
      <c r="M237" t="str" cm="1">
        <f t="array" ref="M237:U237">_xlfn.TEXTSPLIT(A237, ",")</f>
        <v>3.5GHz</v>
      </c>
      <c r="N237" t="str">
        <v>30</v>
      </c>
      <c r="O237" t="str">
        <v>1200</v>
      </c>
      <c r="P237" t="str">
        <v>50</v>
      </c>
      <c r="Q237" t="str">
        <v>60</v>
      </c>
      <c r="R237" t="str">
        <v>0.000502</v>
      </c>
      <c r="S237" t="str">
        <v>0</v>
      </c>
      <c r="T237" t="str">
        <v>0</v>
      </c>
      <c r="U237" t="str">
        <v>0.444401</v>
      </c>
    </row>
    <row r="238" spans="1:21" x14ac:dyDescent="0.35">
      <c r="A238" t="s">
        <v>251</v>
      </c>
      <c r="M238" t="str" cm="1">
        <f t="array" ref="M238:U238">_xlfn.TEXTSPLIT(A238, ",")</f>
        <v>3.5GHz</v>
      </c>
      <c r="N238" t="str">
        <v>30</v>
      </c>
      <c r="O238" t="str">
        <v>1200</v>
      </c>
      <c r="P238" t="str">
        <v>100</v>
      </c>
      <c r="Q238" t="str">
        <v>0</v>
      </c>
      <c r="R238" t="str">
        <v>0.000502</v>
      </c>
      <c r="S238" t="str">
        <v>0</v>
      </c>
      <c r="T238" t="str">
        <v>0</v>
      </c>
      <c r="U238" t="str">
        <v>0.444401</v>
      </c>
    </row>
    <row r="239" spans="1:21" x14ac:dyDescent="0.35">
      <c r="A239" t="s">
        <v>252</v>
      </c>
      <c r="M239" t="str" cm="1">
        <f t="array" ref="M239:U239">_xlfn.TEXTSPLIT(A239, ",")</f>
        <v>3.5GHz</v>
      </c>
      <c r="N239" t="str">
        <v>30</v>
      </c>
      <c r="O239" t="str">
        <v>1200</v>
      </c>
      <c r="P239" t="str">
        <v>100</v>
      </c>
      <c r="Q239" t="str">
        <v>10</v>
      </c>
      <c r="R239" t="str">
        <v>0.000502</v>
      </c>
      <c r="S239" t="str">
        <v>0</v>
      </c>
      <c r="T239" t="str">
        <v>0</v>
      </c>
      <c r="U239" t="str">
        <v>0.444401</v>
      </c>
    </row>
    <row r="240" spans="1:21" x14ac:dyDescent="0.35">
      <c r="A240" t="s">
        <v>253</v>
      </c>
      <c r="M240" t="str" cm="1">
        <f t="array" ref="M240:U240">_xlfn.TEXTSPLIT(A240, ",")</f>
        <v>3.5GHz</v>
      </c>
      <c r="N240" t="str">
        <v>30</v>
      </c>
      <c r="O240" t="str">
        <v>1200</v>
      </c>
      <c r="P240" t="str">
        <v>100</v>
      </c>
      <c r="Q240" t="str">
        <v>30</v>
      </c>
      <c r="R240" t="str">
        <v>0.000502</v>
      </c>
      <c r="S240" t="str">
        <v>0</v>
      </c>
      <c r="T240" t="str">
        <v>0</v>
      </c>
      <c r="U240" t="str">
        <v>0.444401</v>
      </c>
    </row>
    <row r="241" spans="1:21" x14ac:dyDescent="0.35">
      <c r="A241" t="s">
        <v>254</v>
      </c>
      <c r="M241" t="str" cm="1">
        <f t="array" ref="M241:U241">_xlfn.TEXTSPLIT(A241, ",")</f>
        <v>3.5GHz</v>
      </c>
      <c r="N241" t="str">
        <v>30</v>
      </c>
      <c r="O241" t="str">
        <v>1200</v>
      </c>
      <c r="P241" t="str">
        <v>100</v>
      </c>
      <c r="Q241" t="str">
        <v>60</v>
      </c>
      <c r="R241" t="str">
        <v>0.000502</v>
      </c>
      <c r="S241" t="str">
        <v>0</v>
      </c>
      <c r="T241" t="str">
        <v>0</v>
      </c>
      <c r="U241" t="str">
        <v>0.444401</v>
      </c>
    </row>
    <row r="242" spans="1:21" x14ac:dyDescent="0.35">
      <c r="A242" t="s">
        <v>255</v>
      </c>
      <c r="M242" t="str" cm="1">
        <f t="array" ref="M242:U242">_xlfn.TEXTSPLIT(A242, ",")</f>
        <v>3.5GHz</v>
      </c>
      <c r="N242" t="str">
        <v>37</v>
      </c>
      <c r="O242" t="str">
        <v>128</v>
      </c>
      <c r="P242" t="str">
        <v>1.5</v>
      </c>
      <c r="Q242" t="str">
        <v>0</v>
      </c>
      <c r="R242" t="str">
        <v>0.000502</v>
      </c>
      <c r="S242" t="str">
        <v>0</v>
      </c>
      <c r="T242" t="str">
        <v>0</v>
      </c>
      <c r="U242" t="str">
        <v>0.0568897</v>
      </c>
    </row>
    <row r="243" spans="1:21" x14ac:dyDescent="0.35">
      <c r="A243" t="s">
        <v>256</v>
      </c>
      <c r="M243" t="str" cm="1">
        <f t="array" ref="M243:U243">_xlfn.TEXTSPLIT(A243, ",")</f>
        <v>3.5GHz</v>
      </c>
      <c r="N243" t="str">
        <v>37</v>
      </c>
      <c r="O243" t="str">
        <v>128</v>
      </c>
      <c r="P243" t="str">
        <v>1.5</v>
      </c>
      <c r="Q243" t="str">
        <v>10</v>
      </c>
      <c r="R243" t="str">
        <v>0.000502</v>
      </c>
      <c r="S243" t="str">
        <v>0</v>
      </c>
      <c r="T243" t="str">
        <v>0</v>
      </c>
      <c r="U243" t="str">
        <v>0.0568897</v>
      </c>
    </row>
    <row r="244" spans="1:21" x14ac:dyDescent="0.35">
      <c r="A244" t="s">
        <v>257</v>
      </c>
      <c r="M244" t="str" cm="1">
        <f t="array" ref="M244:U244">_xlfn.TEXTSPLIT(A244, ",")</f>
        <v>3.5GHz</v>
      </c>
      <c r="N244" t="str">
        <v>37</v>
      </c>
      <c r="O244" t="str">
        <v>128</v>
      </c>
      <c r="P244" t="str">
        <v>1.5</v>
      </c>
      <c r="Q244" t="str">
        <v>30</v>
      </c>
      <c r="R244" t="str">
        <v>0.000502</v>
      </c>
      <c r="S244" t="str">
        <v>0</v>
      </c>
      <c r="T244" t="str">
        <v>0</v>
      </c>
      <c r="U244" t="str">
        <v>0.0568897</v>
      </c>
    </row>
    <row r="245" spans="1:21" x14ac:dyDescent="0.35">
      <c r="A245" t="s">
        <v>258</v>
      </c>
      <c r="M245" t="str" cm="1">
        <f t="array" ref="M245:U245">_xlfn.TEXTSPLIT(A245, ",")</f>
        <v>3.5GHz</v>
      </c>
      <c r="N245" t="str">
        <v>37</v>
      </c>
      <c r="O245" t="str">
        <v>128</v>
      </c>
      <c r="P245" t="str">
        <v>1.5</v>
      </c>
      <c r="Q245" t="str">
        <v>60</v>
      </c>
      <c r="R245" t="str">
        <v>0.000502</v>
      </c>
      <c r="S245" t="str">
        <v>0</v>
      </c>
      <c r="T245" t="str">
        <v>0</v>
      </c>
      <c r="U245" t="str">
        <v>0.0568897</v>
      </c>
    </row>
    <row r="246" spans="1:21" x14ac:dyDescent="0.35">
      <c r="A246" t="s">
        <v>259</v>
      </c>
      <c r="M246" t="str" cm="1">
        <f t="array" ref="M246:U246">_xlfn.TEXTSPLIT(A246, ",")</f>
        <v>3.5GHz</v>
      </c>
      <c r="N246" t="str">
        <v>37</v>
      </c>
      <c r="O246" t="str">
        <v>128</v>
      </c>
      <c r="P246" t="str">
        <v>20</v>
      </c>
      <c r="Q246" t="str">
        <v>0</v>
      </c>
      <c r="R246" t="str">
        <v>0.000502</v>
      </c>
      <c r="S246" t="str">
        <v>0</v>
      </c>
      <c r="T246" t="str">
        <v>0</v>
      </c>
      <c r="U246" t="str">
        <v>0.0568897</v>
      </c>
    </row>
    <row r="247" spans="1:21" x14ac:dyDescent="0.35">
      <c r="A247" t="s">
        <v>260</v>
      </c>
      <c r="M247" t="str" cm="1">
        <f t="array" ref="M247:U247">_xlfn.TEXTSPLIT(A247, ",")</f>
        <v>3.5GHz</v>
      </c>
      <c r="N247" t="str">
        <v>37</v>
      </c>
      <c r="O247" t="str">
        <v>128</v>
      </c>
      <c r="P247" t="str">
        <v>20</v>
      </c>
      <c r="Q247" t="str">
        <v>10</v>
      </c>
      <c r="R247" t="str">
        <v>0.000502</v>
      </c>
      <c r="S247" t="str">
        <v>0</v>
      </c>
      <c r="T247" t="str">
        <v>0</v>
      </c>
      <c r="U247" t="str">
        <v>0.0568897</v>
      </c>
    </row>
    <row r="248" spans="1:21" x14ac:dyDescent="0.35">
      <c r="A248" t="s">
        <v>261</v>
      </c>
      <c r="M248" t="str" cm="1">
        <f t="array" ref="M248:U248">_xlfn.TEXTSPLIT(A248, ",")</f>
        <v>3.5GHz</v>
      </c>
      <c r="N248" t="str">
        <v>37</v>
      </c>
      <c r="O248" t="str">
        <v>128</v>
      </c>
      <c r="P248" t="str">
        <v>20</v>
      </c>
      <c r="Q248" t="str">
        <v>30</v>
      </c>
      <c r="R248" t="str">
        <v>0.000502</v>
      </c>
      <c r="S248" t="str">
        <v>0</v>
      </c>
      <c r="T248" t="str">
        <v>0</v>
      </c>
      <c r="U248" t="str">
        <v>0.0568897</v>
      </c>
    </row>
    <row r="249" spans="1:21" x14ac:dyDescent="0.35">
      <c r="A249" t="s">
        <v>262</v>
      </c>
      <c r="M249" t="str" cm="1">
        <f t="array" ref="M249:U249">_xlfn.TEXTSPLIT(A249, ",")</f>
        <v>3.5GHz</v>
      </c>
      <c r="N249" t="str">
        <v>37</v>
      </c>
      <c r="O249" t="str">
        <v>128</v>
      </c>
      <c r="P249" t="str">
        <v>20</v>
      </c>
      <c r="Q249" t="str">
        <v>60</v>
      </c>
      <c r="R249" t="str">
        <v>0.000502</v>
      </c>
      <c r="S249" t="str">
        <v>0</v>
      </c>
      <c r="T249" t="str">
        <v>0</v>
      </c>
      <c r="U249" t="str">
        <v>0.0568897</v>
      </c>
    </row>
    <row r="250" spans="1:21" x14ac:dyDescent="0.35">
      <c r="A250" t="s">
        <v>263</v>
      </c>
      <c r="M250" t="str" cm="1">
        <f t="array" ref="M250:U250">_xlfn.TEXTSPLIT(A250, ",")</f>
        <v>3.5GHz</v>
      </c>
      <c r="N250" t="str">
        <v>37</v>
      </c>
      <c r="O250" t="str">
        <v>128</v>
      </c>
      <c r="P250" t="str">
        <v>50</v>
      </c>
      <c r="Q250" t="str">
        <v>0</v>
      </c>
      <c r="R250" t="str">
        <v>0.000502</v>
      </c>
      <c r="S250" t="str">
        <v>0</v>
      </c>
      <c r="T250" t="str">
        <v>0</v>
      </c>
      <c r="U250" t="str">
        <v>0.0568897</v>
      </c>
    </row>
    <row r="251" spans="1:21" x14ac:dyDescent="0.35">
      <c r="A251" t="s">
        <v>264</v>
      </c>
      <c r="M251" t="str" cm="1">
        <f t="array" ref="M251:U251">_xlfn.TEXTSPLIT(A251, ",")</f>
        <v>3.5GHz</v>
      </c>
      <c r="N251" t="str">
        <v>37</v>
      </c>
      <c r="O251" t="str">
        <v>128</v>
      </c>
      <c r="P251" t="str">
        <v>50</v>
      </c>
      <c r="Q251" t="str">
        <v>10</v>
      </c>
      <c r="R251" t="str">
        <v>0.000502</v>
      </c>
      <c r="S251" t="str">
        <v>0</v>
      </c>
      <c r="T251" t="str">
        <v>0</v>
      </c>
      <c r="U251" t="str">
        <v>0.0568897</v>
      </c>
    </row>
    <row r="252" spans="1:21" x14ac:dyDescent="0.35">
      <c r="A252" t="s">
        <v>265</v>
      </c>
      <c r="M252" t="str" cm="1">
        <f t="array" ref="M252:U252">_xlfn.TEXTSPLIT(A252, ",")</f>
        <v>3.5GHz</v>
      </c>
      <c r="N252" t="str">
        <v>37</v>
      </c>
      <c r="O252" t="str">
        <v>128</v>
      </c>
      <c r="P252" t="str">
        <v>50</v>
      </c>
      <c r="Q252" t="str">
        <v>30</v>
      </c>
      <c r="R252" t="str">
        <v>0.000502</v>
      </c>
      <c r="S252" t="str">
        <v>0</v>
      </c>
      <c r="T252" t="str">
        <v>0</v>
      </c>
      <c r="U252" t="str">
        <v>0.0568897</v>
      </c>
    </row>
    <row r="253" spans="1:21" x14ac:dyDescent="0.35">
      <c r="A253" t="s">
        <v>266</v>
      </c>
      <c r="M253" t="str" cm="1">
        <f t="array" ref="M253:U253">_xlfn.TEXTSPLIT(A253, ",")</f>
        <v>3.5GHz</v>
      </c>
      <c r="N253" t="str">
        <v>37</v>
      </c>
      <c r="O253" t="str">
        <v>128</v>
      </c>
      <c r="P253" t="str">
        <v>50</v>
      </c>
      <c r="Q253" t="str">
        <v>60</v>
      </c>
      <c r="R253" t="str">
        <v>0.000502</v>
      </c>
      <c r="S253" t="str">
        <v>0</v>
      </c>
      <c r="T253" t="str">
        <v>0</v>
      </c>
      <c r="U253" t="str">
        <v>0.0568897</v>
      </c>
    </row>
    <row r="254" spans="1:21" x14ac:dyDescent="0.35">
      <c r="A254" t="s">
        <v>267</v>
      </c>
      <c r="M254" t="str" cm="1">
        <f t="array" ref="M254:U254">_xlfn.TEXTSPLIT(A254, ",")</f>
        <v>3.5GHz</v>
      </c>
      <c r="N254" t="str">
        <v>37</v>
      </c>
      <c r="O254" t="str">
        <v>128</v>
      </c>
      <c r="P254" t="str">
        <v>100</v>
      </c>
      <c r="Q254" t="str">
        <v>0</v>
      </c>
      <c r="R254" t="str">
        <v>0.000502</v>
      </c>
      <c r="S254" t="str">
        <v>0</v>
      </c>
      <c r="T254" t="str">
        <v>0</v>
      </c>
      <c r="U254" t="str">
        <v>0.0568897</v>
      </c>
    </row>
    <row r="255" spans="1:21" x14ac:dyDescent="0.35">
      <c r="A255" t="s">
        <v>268</v>
      </c>
      <c r="M255" t="str" cm="1">
        <f t="array" ref="M255:U255">_xlfn.TEXTSPLIT(A255, ",")</f>
        <v>3.5GHz</v>
      </c>
      <c r="N255" t="str">
        <v>37</v>
      </c>
      <c r="O255" t="str">
        <v>128</v>
      </c>
      <c r="P255" t="str">
        <v>100</v>
      </c>
      <c r="Q255" t="str">
        <v>10</v>
      </c>
      <c r="R255" t="str">
        <v>0.000502</v>
      </c>
      <c r="S255" t="str">
        <v>0</v>
      </c>
      <c r="T255" t="str">
        <v>0</v>
      </c>
      <c r="U255" t="str">
        <v>0.0568897</v>
      </c>
    </row>
    <row r="256" spans="1:21" x14ac:dyDescent="0.35">
      <c r="A256" t="s">
        <v>269</v>
      </c>
      <c r="M256" t="str" cm="1">
        <f t="array" ref="M256:U256">_xlfn.TEXTSPLIT(A256, ",")</f>
        <v>3.5GHz</v>
      </c>
      <c r="N256" t="str">
        <v>37</v>
      </c>
      <c r="O256" t="str">
        <v>128</v>
      </c>
      <c r="P256" t="str">
        <v>100</v>
      </c>
      <c r="Q256" t="str">
        <v>30</v>
      </c>
      <c r="R256" t="str">
        <v>0.000502</v>
      </c>
      <c r="S256" t="str">
        <v>0</v>
      </c>
      <c r="T256" t="str">
        <v>0</v>
      </c>
      <c r="U256" t="str">
        <v>0.0568897</v>
      </c>
    </row>
    <row r="257" spans="1:21" x14ac:dyDescent="0.35">
      <c r="A257" t="s">
        <v>270</v>
      </c>
      <c r="M257" t="str" cm="1">
        <f t="array" ref="M257:U257">_xlfn.TEXTSPLIT(A257, ",")</f>
        <v>3.5GHz</v>
      </c>
      <c r="N257" t="str">
        <v>37</v>
      </c>
      <c r="O257" t="str">
        <v>128</v>
      </c>
      <c r="P257" t="str">
        <v>100</v>
      </c>
      <c r="Q257" t="str">
        <v>60</v>
      </c>
      <c r="R257" t="str">
        <v>0.000502</v>
      </c>
      <c r="S257" t="str">
        <v>0</v>
      </c>
      <c r="T257" t="str">
        <v>0</v>
      </c>
      <c r="U257" t="str">
        <v>0.0568897</v>
      </c>
    </row>
    <row r="258" spans="1:21" x14ac:dyDescent="0.35">
      <c r="A258" t="s">
        <v>271</v>
      </c>
      <c r="M258" t="str" cm="1">
        <f t="array" ref="M258:U258">_xlfn.TEXTSPLIT(A258, ",")</f>
        <v>3.5GHz</v>
      </c>
      <c r="N258" t="str">
        <v>37</v>
      </c>
      <c r="O258" t="str">
        <v>512</v>
      </c>
      <c r="P258" t="str">
        <v>1.5</v>
      </c>
      <c r="Q258" t="str">
        <v>0</v>
      </c>
      <c r="R258" t="str">
        <v>0.000502</v>
      </c>
      <c r="S258" t="str">
        <v>0</v>
      </c>
      <c r="T258" t="str">
        <v>0</v>
      </c>
      <c r="U258" t="str">
        <v>0.1957</v>
      </c>
    </row>
    <row r="259" spans="1:21" x14ac:dyDescent="0.35">
      <c r="A259" t="s">
        <v>272</v>
      </c>
      <c r="M259" t="str" cm="1">
        <f t="array" ref="M259:U259">_xlfn.TEXTSPLIT(A259, ",")</f>
        <v>3.5GHz</v>
      </c>
      <c r="N259" t="str">
        <v>37</v>
      </c>
      <c r="O259" t="str">
        <v>512</v>
      </c>
      <c r="P259" t="str">
        <v>1.5</v>
      </c>
      <c r="Q259" t="str">
        <v>10</v>
      </c>
      <c r="R259" t="str">
        <v>0.000502</v>
      </c>
      <c r="S259" t="str">
        <v>0</v>
      </c>
      <c r="T259" t="str">
        <v>0</v>
      </c>
      <c r="U259" t="str">
        <v>0.1957</v>
      </c>
    </row>
    <row r="260" spans="1:21" x14ac:dyDescent="0.35">
      <c r="A260" t="s">
        <v>273</v>
      </c>
      <c r="M260" t="str" cm="1">
        <f t="array" ref="M260:U260">_xlfn.TEXTSPLIT(A260, ",")</f>
        <v>3.5GHz</v>
      </c>
      <c r="N260" t="str">
        <v>37</v>
      </c>
      <c r="O260" t="str">
        <v>512</v>
      </c>
      <c r="P260" t="str">
        <v>1.5</v>
      </c>
      <c r="Q260" t="str">
        <v>30</v>
      </c>
      <c r="R260" t="str">
        <v>0.000502</v>
      </c>
      <c r="S260" t="str">
        <v>0</v>
      </c>
      <c r="T260" t="str">
        <v>0</v>
      </c>
      <c r="U260" t="str">
        <v>0.1957</v>
      </c>
    </row>
    <row r="261" spans="1:21" x14ac:dyDescent="0.35">
      <c r="A261" t="s">
        <v>274</v>
      </c>
      <c r="M261" t="str" cm="1">
        <f t="array" ref="M261:U261">_xlfn.TEXTSPLIT(A261, ",")</f>
        <v>3.5GHz</v>
      </c>
      <c r="N261" t="str">
        <v>37</v>
      </c>
      <c r="O261" t="str">
        <v>512</v>
      </c>
      <c r="P261" t="str">
        <v>1.5</v>
      </c>
      <c r="Q261" t="str">
        <v>60</v>
      </c>
      <c r="R261" t="str">
        <v>0.000502</v>
      </c>
      <c r="S261" t="str">
        <v>0</v>
      </c>
      <c r="T261" t="str">
        <v>0</v>
      </c>
      <c r="U261" t="str">
        <v>0.1957</v>
      </c>
    </row>
    <row r="262" spans="1:21" x14ac:dyDescent="0.35">
      <c r="A262" t="s">
        <v>275</v>
      </c>
      <c r="M262" t="str" cm="1">
        <f t="array" ref="M262:U262">_xlfn.TEXTSPLIT(A262, ",")</f>
        <v>3.5GHz</v>
      </c>
      <c r="N262" t="str">
        <v>37</v>
      </c>
      <c r="O262" t="str">
        <v>512</v>
      </c>
      <c r="P262" t="str">
        <v>20</v>
      </c>
      <c r="Q262" t="str">
        <v>0</v>
      </c>
      <c r="R262" t="str">
        <v>0.000502</v>
      </c>
      <c r="S262" t="str">
        <v>0</v>
      </c>
      <c r="T262" t="str">
        <v>0</v>
      </c>
      <c r="U262" t="str">
        <v>0.1957</v>
      </c>
    </row>
    <row r="263" spans="1:21" x14ac:dyDescent="0.35">
      <c r="A263" t="s">
        <v>276</v>
      </c>
      <c r="M263" t="str" cm="1">
        <f t="array" ref="M263:U263">_xlfn.TEXTSPLIT(A263, ",")</f>
        <v>3.5GHz</v>
      </c>
      <c r="N263" t="str">
        <v>37</v>
      </c>
      <c r="O263" t="str">
        <v>512</v>
      </c>
      <c r="P263" t="str">
        <v>20</v>
      </c>
      <c r="Q263" t="str">
        <v>10</v>
      </c>
      <c r="R263" t="str">
        <v>0.000502</v>
      </c>
      <c r="S263" t="str">
        <v>0</v>
      </c>
      <c r="T263" t="str">
        <v>0</v>
      </c>
      <c r="U263" t="str">
        <v>0.1957</v>
      </c>
    </row>
    <row r="264" spans="1:21" x14ac:dyDescent="0.35">
      <c r="A264" t="s">
        <v>277</v>
      </c>
      <c r="M264" t="str" cm="1">
        <f t="array" ref="M264:U264">_xlfn.TEXTSPLIT(A264, ",")</f>
        <v>3.5GHz</v>
      </c>
      <c r="N264" t="str">
        <v>37</v>
      </c>
      <c r="O264" t="str">
        <v>512</v>
      </c>
      <c r="P264" t="str">
        <v>20</v>
      </c>
      <c r="Q264" t="str">
        <v>30</v>
      </c>
      <c r="R264" t="str">
        <v>0.000502</v>
      </c>
      <c r="S264" t="str">
        <v>0</v>
      </c>
      <c r="T264" t="str">
        <v>0</v>
      </c>
      <c r="U264" t="str">
        <v>0.1957</v>
      </c>
    </row>
    <row r="265" spans="1:21" x14ac:dyDescent="0.35">
      <c r="A265" t="s">
        <v>278</v>
      </c>
      <c r="M265" t="str" cm="1">
        <f t="array" ref="M265:U265">_xlfn.TEXTSPLIT(A265, ",")</f>
        <v>3.5GHz</v>
      </c>
      <c r="N265" t="str">
        <v>37</v>
      </c>
      <c r="O265" t="str">
        <v>512</v>
      </c>
      <c r="P265" t="str">
        <v>20</v>
      </c>
      <c r="Q265" t="str">
        <v>60</v>
      </c>
      <c r="R265" t="str">
        <v>0.000502</v>
      </c>
      <c r="S265" t="str">
        <v>0</v>
      </c>
      <c r="T265" t="str">
        <v>0</v>
      </c>
      <c r="U265" t="str">
        <v>0.1957</v>
      </c>
    </row>
    <row r="266" spans="1:21" x14ac:dyDescent="0.35">
      <c r="A266" t="s">
        <v>279</v>
      </c>
      <c r="M266" t="str" cm="1">
        <f t="array" ref="M266:U266">_xlfn.TEXTSPLIT(A266, ",")</f>
        <v>3.5GHz</v>
      </c>
      <c r="N266" t="str">
        <v>37</v>
      </c>
      <c r="O266" t="str">
        <v>512</v>
      </c>
      <c r="P266" t="str">
        <v>50</v>
      </c>
      <c r="Q266" t="str">
        <v>0</v>
      </c>
      <c r="R266" t="str">
        <v>0.000502</v>
      </c>
      <c r="S266" t="str">
        <v>0</v>
      </c>
      <c r="T266" t="str">
        <v>0</v>
      </c>
      <c r="U266" t="str">
        <v>0.1957</v>
      </c>
    </row>
    <row r="267" spans="1:21" x14ac:dyDescent="0.35">
      <c r="A267" t="s">
        <v>280</v>
      </c>
      <c r="M267" t="str" cm="1">
        <f t="array" ref="M267:U267">_xlfn.TEXTSPLIT(A267, ",")</f>
        <v>3.5GHz</v>
      </c>
      <c r="N267" t="str">
        <v>37</v>
      </c>
      <c r="O267" t="str">
        <v>512</v>
      </c>
      <c r="P267" t="str">
        <v>50</v>
      </c>
      <c r="Q267" t="str">
        <v>10</v>
      </c>
      <c r="R267" t="str">
        <v>0.000502</v>
      </c>
      <c r="S267" t="str">
        <v>0</v>
      </c>
      <c r="T267" t="str">
        <v>0</v>
      </c>
      <c r="U267" t="str">
        <v>0.1957</v>
      </c>
    </row>
    <row r="268" spans="1:21" x14ac:dyDescent="0.35">
      <c r="A268" t="s">
        <v>281</v>
      </c>
      <c r="M268" t="str" cm="1">
        <f t="array" ref="M268:U268">_xlfn.TEXTSPLIT(A268, ",")</f>
        <v>3.5GHz</v>
      </c>
      <c r="N268" t="str">
        <v>37</v>
      </c>
      <c r="O268" t="str">
        <v>512</v>
      </c>
      <c r="P268" t="str">
        <v>50</v>
      </c>
      <c r="Q268" t="str">
        <v>30</v>
      </c>
      <c r="R268" t="str">
        <v>0.000502</v>
      </c>
      <c r="S268" t="str">
        <v>0</v>
      </c>
      <c r="T268" t="str">
        <v>0</v>
      </c>
      <c r="U268" t="str">
        <v>0.1957</v>
      </c>
    </row>
    <row r="269" spans="1:21" x14ac:dyDescent="0.35">
      <c r="A269" t="s">
        <v>282</v>
      </c>
      <c r="M269" t="str" cm="1">
        <f t="array" ref="M269:U269">_xlfn.TEXTSPLIT(A269, ",")</f>
        <v>3.5GHz</v>
      </c>
      <c r="N269" t="str">
        <v>37</v>
      </c>
      <c r="O269" t="str">
        <v>512</v>
      </c>
      <c r="P269" t="str">
        <v>50</v>
      </c>
      <c r="Q269" t="str">
        <v>60</v>
      </c>
      <c r="R269" t="str">
        <v>0.000502</v>
      </c>
      <c r="S269" t="str">
        <v>0</v>
      </c>
      <c r="T269" t="str">
        <v>0</v>
      </c>
      <c r="U269" t="str">
        <v>0.1957</v>
      </c>
    </row>
    <row r="270" spans="1:21" x14ac:dyDescent="0.35">
      <c r="A270" t="s">
        <v>283</v>
      </c>
      <c r="M270" t="str" cm="1">
        <f t="array" ref="M270:U270">_xlfn.TEXTSPLIT(A270, ",")</f>
        <v>3.5GHz</v>
      </c>
      <c r="N270" t="str">
        <v>37</v>
      </c>
      <c r="O270" t="str">
        <v>512</v>
      </c>
      <c r="P270" t="str">
        <v>100</v>
      </c>
      <c r="Q270" t="str">
        <v>0</v>
      </c>
      <c r="R270" t="str">
        <v>0.000502</v>
      </c>
      <c r="S270" t="str">
        <v>0</v>
      </c>
      <c r="T270" t="str">
        <v>0</v>
      </c>
      <c r="U270" t="str">
        <v>0.1957</v>
      </c>
    </row>
    <row r="271" spans="1:21" x14ac:dyDescent="0.35">
      <c r="A271" t="s">
        <v>284</v>
      </c>
      <c r="M271" t="str" cm="1">
        <f t="array" ref="M271:U271">_xlfn.TEXTSPLIT(A271, ",")</f>
        <v>3.5GHz</v>
      </c>
      <c r="N271" t="str">
        <v>37</v>
      </c>
      <c r="O271" t="str">
        <v>512</v>
      </c>
      <c r="P271" t="str">
        <v>100</v>
      </c>
      <c r="Q271" t="str">
        <v>10</v>
      </c>
      <c r="R271" t="str">
        <v>0.000502</v>
      </c>
      <c r="S271" t="str">
        <v>0</v>
      </c>
      <c r="T271" t="str">
        <v>0</v>
      </c>
      <c r="U271" t="str">
        <v>0.1957</v>
      </c>
    </row>
    <row r="272" spans="1:21" x14ac:dyDescent="0.35">
      <c r="A272" t="s">
        <v>285</v>
      </c>
      <c r="M272" t="str" cm="1">
        <f t="array" ref="M272:U272">_xlfn.TEXTSPLIT(A272, ",")</f>
        <v>3.5GHz</v>
      </c>
      <c r="N272" t="str">
        <v>37</v>
      </c>
      <c r="O272" t="str">
        <v>512</v>
      </c>
      <c r="P272" t="str">
        <v>100</v>
      </c>
      <c r="Q272" t="str">
        <v>30</v>
      </c>
      <c r="R272" t="str">
        <v>0.000502</v>
      </c>
      <c r="S272" t="str">
        <v>0</v>
      </c>
      <c r="T272" t="str">
        <v>0</v>
      </c>
      <c r="U272" t="str">
        <v>0.1957</v>
      </c>
    </row>
    <row r="273" spans="1:21" x14ac:dyDescent="0.35">
      <c r="A273" t="s">
        <v>286</v>
      </c>
      <c r="M273" t="str" cm="1">
        <f t="array" ref="M273:U273">_xlfn.TEXTSPLIT(A273, ",")</f>
        <v>3.5GHz</v>
      </c>
      <c r="N273" t="str">
        <v>37</v>
      </c>
      <c r="O273" t="str">
        <v>512</v>
      </c>
      <c r="P273" t="str">
        <v>100</v>
      </c>
      <c r="Q273" t="str">
        <v>60</v>
      </c>
      <c r="R273" t="str">
        <v>0.000502</v>
      </c>
      <c r="S273" t="str">
        <v>0</v>
      </c>
      <c r="T273" t="str">
        <v>0</v>
      </c>
      <c r="U273" t="str">
        <v>0.1957</v>
      </c>
    </row>
    <row r="274" spans="1:21" x14ac:dyDescent="0.35">
      <c r="A274" t="s">
        <v>287</v>
      </c>
      <c r="M274" t="str" cm="1">
        <f t="array" ref="M274:U274">_xlfn.TEXTSPLIT(A274, ",")</f>
        <v>3.5GHz</v>
      </c>
      <c r="N274" t="str">
        <v>37</v>
      </c>
      <c r="O274" t="str">
        <v>1200</v>
      </c>
      <c r="P274" t="str">
        <v>1.5</v>
      </c>
      <c r="Q274" t="str">
        <v>0</v>
      </c>
      <c r="R274" t="str">
        <v>0.000502</v>
      </c>
      <c r="S274" t="str">
        <v>0</v>
      </c>
      <c r="T274" t="str">
        <v>0</v>
      </c>
      <c r="U274" t="str">
        <v>0.444401</v>
      </c>
    </row>
    <row r="275" spans="1:21" x14ac:dyDescent="0.35">
      <c r="A275" t="s">
        <v>288</v>
      </c>
      <c r="M275" t="str" cm="1">
        <f t="array" ref="M275:U275">_xlfn.TEXTSPLIT(A275, ",")</f>
        <v>3.5GHz</v>
      </c>
      <c r="N275" t="str">
        <v>37</v>
      </c>
      <c r="O275" t="str">
        <v>1200</v>
      </c>
      <c r="P275" t="str">
        <v>1.5</v>
      </c>
      <c r="Q275" t="str">
        <v>10</v>
      </c>
      <c r="R275" t="str">
        <v>0.000502</v>
      </c>
      <c r="S275" t="str">
        <v>0</v>
      </c>
      <c r="T275" t="str">
        <v>0</v>
      </c>
      <c r="U275" t="str">
        <v>0.444401</v>
      </c>
    </row>
    <row r="276" spans="1:21" x14ac:dyDescent="0.35">
      <c r="A276" t="s">
        <v>289</v>
      </c>
      <c r="M276" t="str" cm="1">
        <f t="array" ref="M276:U276">_xlfn.TEXTSPLIT(A276, ",")</f>
        <v>3.5GHz</v>
      </c>
      <c r="N276" t="str">
        <v>37</v>
      </c>
      <c r="O276" t="str">
        <v>1200</v>
      </c>
      <c r="P276" t="str">
        <v>1.5</v>
      </c>
      <c r="Q276" t="str">
        <v>30</v>
      </c>
      <c r="R276" t="str">
        <v>0.000502</v>
      </c>
      <c r="S276" t="str">
        <v>0</v>
      </c>
      <c r="T276" t="str">
        <v>0</v>
      </c>
      <c r="U276" t="str">
        <v>0.444401</v>
      </c>
    </row>
    <row r="277" spans="1:21" x14ac:dyDescent="0.35">
      <c r="A277" t="s">
        <v>290</v>
      </c>
      <c r="M277" t="str" cm="1">
        <f t="array" ref="M277:U277">_xlfn.TEXTSPLIT(A277, ",")</f>
        <v>3.5GHz</v>
      </c>
      <c r="N277" t="str">
        <v>37</v>
      </c>
      <c r="O277" t="str">
        <v>1200</v>
      </c>
      <c r="P277" t="str">
        <v>1.5</v>
      </c>
      <c r="Q277" t="str">
        <v>60</v>
      </c>
      <c r="R277" t="str">
        <v>0.000502</v>
      </c>
      <c r="S277" t="str">
        <v>0</v>
      </c>
      <c r="T277" t="str">
        <v>0</v>
      </c>
      <c r="U277" t="str">
        <v>0.444401</v>
      </c>
    </row>
    <row r="278" spans="1:21" x14ac:dyDescent="0.35">
      <c r="A278" t="s">
        <v>291</v>
      </c>
      <c r="M278" t="str" cm="1">
        <f t="array" ref="M278:U278">_xlfn.TEXTSPLIT(A278, ",")</f>
        <v>3.5GHz</v>
      </c>
      <c r="N278" t="str">
        <v>37</v>
      </c>
      <c r="O278" t="str">
        <v>1200</v>
      </c>
      <c r="P278" t="str">
        <v>20</v>
      </c>
      <c r="Q278" t="str">
        <v>0</v>
      </c>
      <c r="R278" t="str">
        <v>0.000502</v>
      </c>
      <c r="S278" t="str">
        <v>0</v>
      </c>
      <c r="T278" t="str">
        <v>0</v>
      </c>
      <c r="U278" t="str">
        <v>0.444401</v>
      </c>
    </row>
    <row r="279" spans="1:21" x14ac:dyDescent="0.35">
      <c r="A279" t="s">
        <v>292</v>
      </c>
      <c r="M279" t="str" cm="1">
        <f t="array" ref="M279:U279">_xlfn.TEXTSPLIT(A279, ",")</f>
        <v>3.5GHz</v>
      </c>
      <c r="N279" t="str">
        <v>37</v>
      </c>
      <c r="O279" t="str">
        <v>1200</v>
      </c>
      <c r="P279" t="str">
        <v>20</v>
      </c>
      <c r="Q279" t="str">
        <v>10</v>
      </c>
      <c r="R279" t="str">
        <v>0.000502</v>
      </c>
      <c r="S279" t="str">
        <v>0</v>
      </c>
      <c r="T279" t="str">
        <v>0</v>
      </c>
      <c r="U279" t="str">
        <v>0.444401</v>
      </c>
    </row>
    <row r="280" spans="1:21" x14ac:dyDescent="0.35">
      <c r="A280" t="s">
        <v>293</v>
      </c>
      <c r="M280" t="str" cm="1">
        <f t="array" ref="M280:U280">_xlfn.TEXTSPLIT(A280, ",")</f>
        <v>3.5GHz</v>
      </c>
      <c r="N280" t="str">
        <v>37</v>
      </c>
      <c r="O280" t="str">
        <v>1200</v>
      </c>
      <c r="P280" t="str">
        <v>20</v>
      </c>
      <c r="Q280" t="str">
        <v>30</v>
      </c>
      <c r="R280" t="str">
        <v>0.000502</v>
      </c>
      <c r="S280" t="str">
        <v>0</v>
      </c>
      <c r="T280" t="str">
        <v>0</v>
      </c>
      <c r="U280" t="str">
        <v>0.444401</v>
      </c>
    </row>
    <row r="281" spans="1:21" x14ac:dyDescent="0.35">
      <c r="A281" t="s">
        <v>294</v>
      </c>
      <c r="M281" t="str" cm="1">
        <f t="array" ref="M281:U281">_xlfn.TEXTSPLIT(A281, ",")</f>
        <v>3.5GHz</v>
      </c>
      <c r="N281" t="str">
        <v>37</v>
      </c>
      <c r="O281" t="str">
        <v>1200</v>
      </c>
      <c r="P281" t="str">
        <v>20</v>
      </c>
      <c r="Q281" t="str">
        <v>60</v>
      </c>
      <c r="R281" t="str">
        <v>0.000502</v>
      </c>
      <c r="S281" t="str">
        <v>0</v>
      </c>
      <c r="T281" t="str">
        <v>0</v>
      </c>
      <c r="U281" t="str">
        <v>0.444401</v>
      </c>
    </row>
    <row r="282" spans="1:21" x14ac:dyDescent="0.35">
      <c r="A282" t="s">
        <v>295</v>
      </c>
      <c r="M282" t="str" cm="1">
        <f t="array" ref="M282:U282">_xlfn.TEXTSPLIT(A282, ",")</f>
        <v>3.5GHz</v>
      </c>
      <c r="N282" t="str">
        <v>37</v>
      </c>
      <c r="O282" t="str">
        <v>1200</v>
      </c>
      <c r="P282" t="str">
        <v>50</v>
      </c>
      <c r="Q282" t="str">
        <v>0</v>
      </c>
      <c r="R282" t="str">
        <v>0.000502</v>
      </c>
      <c r="S282" t="str">
        <v>0</v>
      </c>
      <c r="T282" t="str">
        <v>0</v>
      </c>
      <c r="U282" t="str">
        <v>0.444401</v>
      </c>
    </row>
    <row r="283" spans="1:21" x14ac:dyDescent="0.35">
      <c r="A283" t="s">
        <v>296</v>
      </c>
      <c r="M283" t="str" cm="1">
        <f t="array" ref="M283:U283">_xlfn.TEXTSPLIT(A283, ",")</f>
        <v>3.5GHz</v>
      </c>
      <c r="N283" t="str">
        <v>37</v>
      </c>
      <c r="O283" t="str">
        <v>1200</v>
      </c>
      <c r="P283" t="str">
        <v>50</v>
      </c>
      <c r="Q283" t="str">
        <v>10</v>
      </c>
      <c r="R283" t="str">
        <v>0.000502</v>
      </c>
      <c r="S283" t="str">
        <v>0</v>
      </c>
      <c r="T283" t="str">
        <v>0</v>
      </c>
      <c r="U283" t="str">
        <v>0.444401</v>
      </c>
    </row>
    <row r="284" spans="1:21" x14ac:dyDescent="0.35">
      <c r="A284" t="s">
        <v>297</v>
      </c>
      <c r="M284" t="str" cm="1">
        <f t="array" ref="M284:U284">_xlfn.TEXTSPLIT(A284, ",")</f>
        <v>3.5GHz</v>
      </c>
      <c r="N284" t="str">
        <v>37</v>
      </c>
      <c r="O284" t="str">
        <v>1200</v>
      </c>
      <c r="P284" t="str">
        <v>50</v>
      </c>
      <c r="Q284" t="str">
        <v>30</v>
      </c>
      <c r="R284" t="str">
        <v>0.000502</v>
      </c>
      <c r="S284" t="str">
        <v>0</v>
      </c>
      <c r="T284" t="str">
        <v>0</v>
      </c>
      <c r="U284" t="str">
        <v>0.444401</v>
      </c>
    </row>
    <row r="285" spans="1:21" x14ac:dyDescent="0.35">
      <c r="A285" t="s">
        <v>298</v>
      </c>
      <c r="M285" t="str" cm="1">
        <f t="array" ref="M285:U285">_xlfn.TEXTSPLIT(A285, ",")</f>
        <v>3.5GHz</v>
      </c>
      <c r="N285" t="str">
        <v>37</v>
      </c>
      <c r="O285" t="str">
        <v>1200</v>
      </c>
      <c r="P285" t="str">
        <v>50</v>
      </c>
      <c r="Q285" t="str">
        <v>60</v>
      </c>
      <c r="R285" t="str">
        <v>0.000502</v>
      </c>
      <c r="S285" t="str">
        <v>0</v>
      </c>
      <c r="T285" t="str">
        <v>0</v>
      </c>
      <c r="U285" t="str">
        <v>0.444401</v>
      </c>
    </row>
    <row r="286" spans="1:21" x14ac:dyDescent="0.35">
      <c r="A286" t="s">
        <v>299</v>
      </c>
      <c r="M286" t="str" cm="1">
        <f t="array" ref="M286:U286">_xlfn.TEXTSPLIT(A286, ",")</f>
        <v>3.5GHz</v>
      </c>
      <c r="N286" t="str">
        <v>37</v>
      </c>
      <c r="O286" t="str">
        <v>1200</v>
      </c>
      <c r="P286" t="str">
        <v>100</v>
      </c>
      <c r="Q286" t="str">
        <v>0</v>
      </c>
      <c r="R286" t="str">
        <v>0.000502</v>
      </c>
      <c r="S286" t="str">
        <v>0</v>
      </c>
      <c r="T286" t="str">
        <v>0</v>
      </c>
      <c r="U286" t="str">
        <v>0.444401</v>
      </c>
    </row>
    <row r="287" spans="1:21" x14ac:dyDescent="0.35">
      <c r="A287" t="s">
        <v>300</v>
      </c>
      <c r="M287" t="str" cm="1">
        <f t="array" ref="M287:U287">_xlfn.TEXTSPLIT(A287, ",")</f>
        <v>3.5GHz</v>
      </c>
      <c r="N287" t="str">
        <v>37</v>
      </c>
      <c r="O287" t="str">
        <v>1200</v>
      </c>
      <c r="P287" t="str">
        <v>100</v>
      </c>
      <c r="Q287" t="str">
        <v>10</v>
      </c>
      <c r="R287" t="str">
        <v>0.000502</v>
      </c>
      <c r="S287" t="str">
        <v>0</v>
      </c>
      <c r="T287" t="str">
        <v>0</v>
      </c>
      <c r="U287" t="str">
        <v>0.444401</v>
      </c>
    </row>
    <row r="288" spans="1:21" x14ac:dyDescent="0.35">
      <c r="A288" t="s">
        <v>301</v>
      </c>
      <c r="M288" t="str" cm="1">
        <f t="array" ref="M288:U288">_xlfn.TEXTSPLIT(A288, ",")</f>
        <v>3.5GHz</v>
      </c>
      <c r="N288" t="str">
        <v>37</v>
      </c>
      <c r="O288" t="str">
        <v>1200</v>
      </c>
      <c r="P288" t="str">
        <v>100</v>
      </c>
      <c r="Q288" t="str">
        <v>30</v>
      </c>
      <c r="R288" t="str">
        <v>0.000502</v>
      </c>
      <c r="S288" t="str">
        <v>0</v>
      </c>
      <c r="T288" t="str">
        <v>0</v>
      </c>
      <c r="U288" t="str">
        <v>0.444401</v>
      </c>
    </row>
    <row r="289" spans="1:21" x14ac:dyDescent="0.35">
      <c r="A289" t="s">
        <v>302</v>
      </c>
      <c r="M289" t="str" cm="1">
        <f t="array" ref="M289:U289">_xlfn.TEXTSPLIT(A289, ",")</f>
        <v>3.5GHz</v>
      </c>
      <c r="N289" t="str">
        <v>37</v>
      </c>
      <c r="O289" t="str">
        <v>1200</v>
      </c>
      <c r="P289" t="str">
        <v>100</v>
      </c>
      <c r="Q289" t="str">
        <v>60</v>
      </c>
      <c r="R289" t="str">
        <v>0.000502</v>
      </c>
      <c r="S289" t="str">
        <v>0</v>
      </c>
      <c r="T289" t="str">
        <v>0</v>
      </c>
      <c r="U289" t="str">
        <v>0.444401</v>
      </c>
    </row>
    <row r="290" spans="1:21" x14ac:dyDescent="0.35">
      <c r="A290" t="s">
        <v>303</v>
      </c>
      <c r="M290" t="str" cm="1">
        <f t="array" ref="M290:U290">_xlfn.TEXTSPLIT(A290, ",")</f>
        <v>28GHz</v>
      </c>
      <c r="N290" t="str">
        <v>23</v>
      </c>
      <c r="O290" t="str">
        <v>128</v>
      </c>
      <c r="P290" t="str">
        <v>1.5</v>
      </c>
      <c r="Q290" t="str">
        <v>0</v>
      </c>
      <c r="R290" t="str">
        <v>0.000502</v>
      </c>
      <c r="S290" t="str">
        <v>0</v>
      </c>
      <c r="T290" t="str">
        <v>0</v>
      </c>
      <c r="U290" t="str">
        <v>0.0568897</v>
      </c>
    </row>
    <row r="291" spans="1:21" x14ac:dyDescent="0.35">
      <c r="A291" t="s">
        <v>304</v>
      </c>
      <c r="M291" t="str" cm="1">
        <f t="array" ref="M291:U291">_xlfn.TEXTSPLIT(A291, ",")</f>
        <v>28GHz</v>
      </c>
      <c r="N291" t="str">
        <v>23</v>
      </c>
      <c r="O291" t="str">
        <v>128</v>
      </c>
      <c r="P291" t="str">
        <v>1.5</v>
      </c>
      <c r="Q291" t="str">
        <v>10</v>
      </c>
      <c r="R291" t="str">
        <v>0.000502</v>
      </c>
      <c r="S291" t="str">
        <v>0</v>
      </c>
      <c r="T291" t="str">
        <v>0</v>
      </c>
      <c r="U291" t="str">
        <v>0.0568897</v>
      </c>
    </row>
    <row r="292" spans="1:21" x14ac:dyDescent="0.35">
      <c r="A292" t="s">
        <v>305</v>
      </c>
      <c r="M292" t="str" cm="1">
        <f t="array" ref="M292:U292">_xlfn.TEXTSPLIT(A292, ",")</f>
        <v>28GHz</v>
      </c>
      <c r="N292" t="str">
        <v>23</v>
      </c>
      <c r="O292" t="str">
        <v>128</v>
      </c>
      <c r="P292" t="str">
        <v>1.5</v>
      </c>
      <c r="Q292" t="str">
        <v>30</v>
      </c>
      <c r="R292" t="str">
        <v>0.000502</v>
      </c>
      <c r="S292" t="str">
        <v>0</v>
      </c>
      <c r="T292" t="str">
        <v>0</v>
      </c>
      <c r="U292" t="str">
        <v>0.0568897</v>
      </c>
    </row>
    <row r="293" spans="1:21" x14ac:dyDescent="0.35">
      <c r="A293" t="s">
        <v>306</v>
      </c>
      <c r="M293" t="str" cm="1">
        <f t="array" ref="M293:U293">_xlfn.TEXTSPLIT(A293, ",")</f>
        <v>28GHz</v>
      </c>
      <c r="N293" t="str">
        <v>23</v>
      </c>
      <c r="O293" t="str">
        <v>128</v>
      </c>
      <c r="P293" t="str">
        <v>1.5</v>
      </c>
      <c r="Q293" t="str">
        <v>60</v>
      </c>
      <c r="R293" t="str">
        <v>0.000502</v>
      </c>
      <c r="S293" t="str">
        <v>0</v>
      </c>
      <c r="T293" t="str">
        <v>0</v>
      </c>
      <c r="U293" t="str">
        <v>0.0568897</v>
      </c>
    </row>
    <row r="294" spans="1:21" x14ac:dyDescent="0.35">
      <c r="A294" t="s">
        <v>307</v>
      </c>
      <c r="M294" t="str" cm="1">
        <f t="array" ref="M294:U294">_xlfn.TEXTSPLIT(A294, ",")</f>
        <v>28GHz</v>
      </c>
      <c r="N294" t="str">
        <v>23</v>
      </c>
      <c r="O294" t="str">
        <v>128</v>
      </c>
      <c r="P294" t="str">
        <v>20</v>
      </c>
      <c r="Q294" t="str">
        <v>0</v>
      </c>
      <c r="R294" t="str">
        <v>0.000502</v>
      </c>
      <c r="S294" t="str">
        <v>0</v>
      </c>
      <c r="T294" t="str">
        <v>0</v>
      </c>
      <c r="U294" t="str">
        <v>0.0568897</v>
      </c>
    </row>
    <row r="295" spans="1:21" x14ac:dyDescent="0.35">
      <c r="A295" t="s">
        <v>308</v>
      </c>
      <c r="M295" t="str" cm="1">
        <f t="array" ref="M295:U295">_xlfn.TEXTSPLIT(A295, ",")</f>
        <v>28GHz</v>
      </c>
      <c r="N295" t="str">
        <v>23</v>
      </c>
      <c r="O295" t="str">
        <v>128</v>
      </c>
      <c r="P295" t="str">
        <v>20</v>
      </c>
      <c r="Q295" t="str">
        <v>10</v>
      </c>
      <c r="R295" t="str">
        <v>0.000502</v>
      </c>
      <c r="S295" t="str">
        <v>0</v>
      </c>
      <c r="T295" t="str">
        <v>0</v>
      </c>
      <c r="U295" t="str">
        <v>0.0568897</v>
      </c>
    </row>
    <row r="296" spans="1:21" x14ac:dyDescent="0.35">
      <c r="A296" t="s">
        <v>309</v>
      </c>
      <c r="M296" t="str" cm="1">
        <f t="array" ref="M296:U296">_xlfn.TEXTSPLIT(A296, ",")</f>
        <v>28GHz</v>
      </c>
      <c r="N296" t="str">
        <v>23</v>
      </c>
      <c r="O296" t="str">
        <v>128</v>
      </c>
      <c r="P296" t="str">
        <v>20</v>
      </c>
      <c r="Q296" t="str">
        <v>30</v>
      </c>
      <c r="R296" t="str">
        <v>0.000502</v>
      </c>
      <c r="S296" t="str">
        <v>0</v>
      </c>
      <c r="T296" t="str">
        <v>0</v>
      </c>
      <c r="U296" t="str">
        <v>0.0568897</v>
      </c>
    </row>
    <row r="297" spans="1:21" x14ac:dyDescent="0.35">
      <c r="A297" t="s">
        <v>310</v>
      </c>
      <c r="M297" t="str" cm="1">
        <f t="array" ref="M297:U297">_xlfn.TEXTSPLIT(A297, ",")</f>
        <v>28GHz</v>
      </c>
      <c r="N297" t="str">
        <v>23</v>
      </c>
      <c r="O297" t="str">
        <v>128</v>
      </c>
      <c r="P297" t="str">
        <v>20</v>
      </c>
      <c r="Q297" t="str">
        <v>60</v>
      </c>
      <c r="R297" t="str">
        <v>0.000502</v>
      </c>
      <c r="S297" t="str">
        <v>0</v>
      </c>
      <c r="T297" t="str">
        <v>0</v>
      </c>
      <c r="U297" t="str">
        <v>0.0568897</v>
      </c>
    </row>
    <row r="298" spans="1:21" x14ac:dyDescent="0.35">
      <c r="A298" t="s">
        <v>311</v>
      </c>
      <c r="M298" t="str" cm="1">
        <f t="array" ref="M298:U298">_xlfn.TEXTSPLIT(A298, ",")</f>
        <v>28GHz</v>
      </c>
      <c r="N298" t="str">
        <v>23</v>
      </c>
      <c r="O298" t="str">
        <v>128</v>
      </c>
      <c r="P298" t="str">
        <v>50</v>
      </c>
      <c r="Q298" t="str">
        <v>0</v>
      </c>
      <c r="R298" t="str">
        <v>0.000502</v>
      </c>
      <c r="S298" t="str">
        <v>0</v>
      </c>
      <c r="T298" t="str">
        <v>0</v>
      </c>
      <c r="U298" t="str">
        <v>0.0568897</v>
      </c>
    </row>
    <row r="299" spans="1:21" x14ac:dyDescent="0.35">
      <c r="A299" t="s">
        <v>312</v>
      </c>
      <c r="M299" t="str" cm="1">
        <f t="array" ref="M299:U299">_xlfn.TEXTSPLIT(A299, ",")</f>
        <v>28GHz</v>
      </c>
      <c r="N299" t="str">
        <v>23</v>
      </c>
      <c r="O299" t="str">
        <v>128</v>
      </c>
      <c r="P299" t="str">
        <v>50</v>
      </c>
      <c r="Q299" t="str">
        <v>10</v>
      </c>
      <c r="R299" t="str">
        <v>0.000502</v>
      </c>
      <c r="S299" t="str">
        <v>0</v>
      </c>
      <c r="T299" t="str">
        <v>0</v>
      </c>
      <c r="U299" t="str">
        <v>0.0568897</v>
      </c>
    </row>
    <row r="300" spans="1:21" x14ac:dyDescent="0.35">
      <c r="A300" t="s">
        <v>313</v>
      </c>
      <c r="M300" t="str" cm="1">
        <f t="array" ref="M300:U300">_xlfn.TEXTSPLIT(A300, ",")</f>
        <v>28GHz</v>
      </c>
      <c r="N300" t="str">
        <v>23</v>
      </c>
      <c r="O300" t="str">
        <v>128</v>
      </c>
      <c r="P300" t="str">
        <v>50</v>
      </c>
      <c r="Q300" t="str">
        <v>30</v>
      </c>
      <c r="R300" t="str">
        <v>0.000502</v>
      </c>
      <c r="S300" t="str">
        <v>0</v>
      </c>
      <c r="T300" t="str">
        <v>0</v>
      </c>
      <c r="U300" t="str">
        <v>0.0568897</v>
      </c>
    </row>
    <row r="301" spans="1:21" x14ac:dyDescent="0.35">
      <c r="A301" t="s">
        <v>314</v>
      </c>
      <c r="M301" t="str" cm="1">
        <f t="array" ref="M301:U301">_xlfn.TEXTSPLIT(A301, ",")</f>
        <v>28GHz</v>
      </c>
      <c r="N301" t="str">
        <v>23</v>
      </c>
      <c r="O301" t="str">
        <v>128</v>
      </c>
      <c r="P301" t="str">
        <v>50</v>
      </c>
      <c r="Q301" t="str">
        <v>60</v>
      </c>
      <c r="R301" t="str">
        <v>0.000502</v>
      </c>
      <c r="S301" t="str">
        <v>0</v>
      </c>
      <c r="T301" t="str">
        <v>0</v>
      </c>
      <c r="U301" t="str">
        <v>0.0568897</v>
      </c>
    </row>
    <row r="302" spans="1:21" x14ac:dyDescent="0.35">
      <c r="A302" t="s">
        <v>315</v>
      </c>
      <c r="M302" t="str" cm="1">
        <f t="array" ref="M302:U302">_xlfn.TEXTSPLIT(A302, ",")</f>
        <v>28GHz</v>
      </c>
      <c r="N302" t="str">
        <v>23</v>
      </c>
      <c r="O302" t="str">
        <v>128</v>
      </c>
      <c r="P302" t="str">
        <v>100</v>
      </c>
      <c r="Q302" t="str">
        <v>0</v>
      </c>
      <c r="R302" t="str">
        <v>0.000502</v>
      </c>
      <c r="S302" t="str">
        <v>0</v>
      </c>
      <c r="T302" t="str">
        <v>0</v>
      </c>
      <c r="U302" t="str">
        <v>0.0568897</v>
      </c>
    </row>
    <row r="303" spans="1:21" x14ac:dyDescent="0.35">
      <c r="A303" t="s">
        <v>316</v>
      </c>
      <c r="M303" t="str" cm="1">
        <f t="array" ref="M303:U303">_xlfn.TEXTSPLIT(A303, ",")</f>
        <v>28GHz</v>
      </c>
      <c r="N303" t="str">
        <v>23</v>
      </c>
      <c r="O303" t="str">
        <v>128</v>
      </c>
      <c r="P303" t="str">
        <v>100</v>
      </c>
      <c r="Q303" t="str">
        <v>10</v>
      </c>
      <c r="R303" t="str">
        <v>0.000502</v>
      </c>
      <c r="S303" t="str">
        <v>0</v>
      </c>
      <c r="T303" t="str">
        <v>0</v>
      </c>
      <c r="U303" t="str">
        <v>0.0568897</v>
      </c>
    </row>
    <row r="304" spans="1:21" x14ac:dyDescent="0.35">
      <c r="A304" t="s">
        <v>317</v>
      </c>
      <c r="M304" t="str" cm="1">
        <f t="array" ref="M304:U304">_xlfn.TEXTSPLIT(A304, ",")</f>
        <v>28GHz</v>
      </c>
      <c r="N304" t="str">
        <v>23</v>
      </c>
      <c r="O304" t="str">
        <v>128</v>
      </c>
      <c r="P304" t="str">
        <v>100</v>
      </c>
      <c r="Q304" t="str">
        <v>30</v>
      </c>
      <c r="R304" t="str">
        <v>0.000502</v>
      </c>
      <c r="S304" t="str">
        <v>0</v>
      </c>
      <c r="T304" t="str">
        <v>0</v>
      </c>
      <c r="U304" t="str">
        <v>0.0568897</v>
      </c>
    </row>
    <row r="305" spans="1:21" x14ac:dyDescent="0.35">
      <c r="A305" t="s">
        <v>318</v>
      </c>
      <c r="M305" t="str" cm="1">
        <f t="array" ref="M305:U305">_xlfn.TEXTSPLIT(A305, ",")</f>
        <v>28GHz</v>
      </c>
      <c r="N305" t="str">
        <v>23</v>
      </c>
      <c r="O305" t="str">
        <v>128</v>
      </c>
      <c r="P305" t="str">
        <v>100</v>
      </c>
      <c r="Q305" t="str">
        <v>60</v>
      </c>
      <c r="R305" t="str">
        <v>0.000502</v>
      </c>
      <c r="S305" t="str">
        <v>0</v>
      </c>
      <c r="T305" t="str">
        <v>0</v>
      </c>
      <c r="U305" t="str">
        <v>0.0568897</v>
      </c>
    </row>
    <row r="306" spans="1:21" x14ac:dyDescent="0.35">
      <c r="A306" t="s">
        <v>319</v>
      </c>
      <c r="M306" t="str" cm="1">
        <f t="array" ref="M306:U306">_xlfn.TEXTSPLIT(A306, ",")</f>
        <v>28GHz</v>
      </c>
      <c r="N306" t="str">
        <v>23</v>
      </c>
      <c r="O306" t="str">
        <v>512</v>
      </c>
      <c r="P306" t="str">
        <v>1.5</v>
      </c>
      <c r="Q306" t="str">
        <v>0</v>
      </c>
      <c r="R306" t="str">
        <v>0.000502</v>
      </c>
      <c r="S306" t="str">
        <v>0</v>
      </c>
      <c r="T306" t="str">
        <v>0</v>
      </c>
      <c r="U306" t="str">
        <v>0.1957</v>
      </c>
    </row>
    <row r="307" spans="1:21" x14ac:dyDescent="0.35">
      <c r="A307" t="s">
        <v>320</v>
      </c>
      <c r="M307" t="str" cm="1">
        <f t="array" ref="M307:U307">_xlfn.TEXTSPLIT(A307, ",")</f>
        <v>28GHz</v>
      </c>
      <c r="N307" t="str">
        <v>23</v>
      </c>
      <c r="O307" t="str">
        <v>512</v>
      </c>
      <c r="P307" t="str">
        <v>1.5</v>
      </c>
      <c r="Q307" t="str">
        <v>10</v>
      </c>
      <c r="R307" t="str">
        <v>0.000502</v>
      </c>
      <c r="S307" t="str">
        <v>0</v>
      </c>
      <c r="T307" t="str">
        <v>0</v>
      </c>
      <c r="U307" t="str">
        <v>0.1957</v>
      </c>
    </row>
    <row r="308" spans="1:21" x14ac:dyDescent="0.35">
      <c r="A308" t="s">
        <v>321</v>
      </c>
      <c r="M308" t="str" cm="1">
        <f t="array" ref="M308:U308">_xlfn.TEXTSPLIT(A308, ",")</f>
        <v>28GHz</v>
      </c>
      <c r="N308" t="str">
        <v>23</v>
      </c>
      <c r="O308" t="str">
        <v>512</v>
      </c>
      <c r="P308" t="str">
        <v>1.5</v>
      </c>
      <c r="Q308" t="str">
        <v>30</v>
      </c>
      <c r="R308" t="str">
        <v>0.000502</v>
      </c>
      <c r="S308" t="str">
        <v>0</v>
      </c>
      <c r="T308" t="str">
        <v>0</v>
      </c>
      <c r="U308" t="str">
        <v>0.1957</v>
      </c>
    </row>
    <row r="309" spans="1:21" x14ac:dyDescent="0.35">
      <c r="A309" t="s">
        <v>322</v>
      </c>
      <c r="M309" t="str" cm="1">
        <f t="array" ref="M309:U309">_xlfn.TEXTSPLIT(A309, ",")</f>
        <v>28GHz</v>
      </c>
      <c r="N309" t="str">
        <v>23</v>
      </c>
      <c r="O309" t="str">
        <v>512</v>
      </c>
      <c r="P309" t="str">
        <v>1.5</v>
      </c>
      <c r="Q309" t="str">
        <v>60</v>
      </c>
      <c r="R309" t="str">
        <v>0.000502</v>
      </c>
      <c r="S309" t="str">
        <v>0</v>
      </c>
      <c r="T309" t="str">
        <v>0</v>
      </c>
      <c r="U309" t="str">
        <v>0.1957</v>
      </c>
    </row>
    <row r="310" spans="1:21" x14ac:dyDescent="0.35">
      <c r="A310" t="s">
        <v>323</v>
      </c>
      <c r="M310" t="str" cm="1">
        <f t="array" ref="M310:U310">_xlfn.TEXTSPLIT(A310, ",")</f>
        <v>28GHz</v>
      </c>
      <c r="N310" t="str">
        <v>23</v>
      </c>
      <c r="O310" t="str">
        <v>512</v>
      </c>
      <c r="P310" t="str">
        <v>20</v>
      </c>
      <c r="Q310" t="str">
        <v>0</v>
      </c>
      <c r="R310" t="str">
        <v>0.000502</v>
      </c>
      <c r="S310" t="str">
        <v>0</v>
      </c>
      <c r="T310" t="str">
        <v>0</v>
      </c>
      <c r="U310" t="str">
        <v>0.1957</v>
      </c>
    </row>
    <row r="311" spans="1:21" x14ac:dyDescent="0.35">
      <c r="A311" t="s">
        <v>324</v>
      </c>
      <c r="M311" t="str" cm="1">
        <f t="array" ref="M311:U311">_xlfn.TEXTSPLIT(A311, ",")</f>
        <v>28GHz</v>
      </c>
      <c r="N311" t="str">
        <v>23</v>
      </c>
      <c r="O311" t="str">
        <v>512</v>
      </c>
      <c r="P311" t="str">
        <v>20</v>
      </c>
      <c r="Q311" t="str">
        <v>10</v>
      </c>
      <c r="R311" t="str">
        <v>0.000502</v>
      </c>
      <c r="S311" t="str">
        <v>0</v>
      </c>
      <c r="T311" t="str">
        <v>0</v>
      </c>
      <c r="U311" t="str">
        <v>0.1957</v>
      </c>
    </row>
    <row r="312" spans="1:21" x14ac:dyDescent="0.35">
      <c r="A312" t="s">
        <v>325</v>
      </c>
      <c r="M312" t="str" cm="1">
        <f t="array" ref="M312:U312">_xlfn.TEXTSPLIT(A312, ",")</f>
        <v>28GHz</v>
      </c>
      <c r="N312" t="str">
        <v>23</v>
      </c>
      <c r="O312" t="str">
        <v>512</v>
      </c>
      <c r="P312" t="str">
        <v>20</v>
      </c>
      <c r="Q312" t="str">
        <v>30</v>
      </c>
      <c r="R312" t="str">
        <v>0.000502</v>
      </c>
      <c r="S312" t="str">
        <v>0</v>
      </c>
      <c r="T312" t="str">
        <v>0</v>
      </c>
      <c r="U312" t="str">
        <v>0.1957</v>
      </c>
    </row>
    <row r="313" spans="1:21" x14ac:dyDescent="0.35">
      <c r="A313" t="s">
        <v>326</v>
      </c>
      <c r="M313" t="str" cm="1">
        <f t="array" ref="M313:U313">_xlfn.TEXTSPLIT(A313, ",")</f>
        <v>28GHz</v>
      </c>
      <c r="N313" t="str">
        <v>23</v>
      </c>
      <c r="O313" t="str">
        <v>512</v>
      </c>
      <c r="P313" t="str">
        <v>20</v>
      </c>
      <c r="Q313" t="str">
        <v>60</v>
      </c>
      <c r="R313" t="str">
        <v>0.000502</v>
      </c>
      <c r="S313" t="str">
        <v>0</v>
      </c>
      <c r="T313" t="str">
        <v>0</v>
      </c>
      <c r="U313" t="str">
        <v>0.1957</v>
      </c>
    </row>
    <row r="314" spans="1:21" x14ac:dyDescent="0.35">
      <c r="A314" t="s">
        <v>327</v>
      </c>
      <c r="M314" t="str" cm="1">
        <f t="array" ref="M314:U314">_xlfn.TEXTSPLIT(A314, ",")</f>
        <v>28GHz</v>
      </c>
      <c r="N314" t="str">
        <v>23</v>
      </c>
      <c r="O314" t="str">
        <v>512</v>
      </c>
      <c r="P314" t="str">
        <v>50</v>
      </c>
      <c r="Q314" t="str">
        <v>0</v>
      </c>
      <c r="R314" t="str">
        <v>0.000502</v>
      </c>
      <c r="S314" t="str">
        <v>0</v>
      </c>
      <c r="T314" t="str">
        <v>0</v>
      </c>
      <c r="U314" t="str">
        <v>0.1957</v>
      </c>
    </row>
    <row r="315" spans="1:21" x14ac:dyDescent="0.35">
      <c r="A315" t="s">
        <v>328</v>
      </c>
      <c r="M315" t="str" cm="1">
        <f t="array" ref="M315:U315">_xlfn.TEXTSPLIT(A315, ",")</f>
        <v>28GHz</v>
      </c>
      <c r="N315" t="str">
        <v>23</v>
      </c>
      <c r="O315" t="str">
        <v>512</v>
      </c>
      <c r="P315" t="str">
        <v>50</v>
      </c>
      <c r="Q315" t="str">
        <v>10</v>
      </c>
      <c r="R315" t="str">
        <v>0.000502</v>
      </c>
      <c r="S315" t="str">
        <v>0</v>
      </c>
      <c r="T315" t="str">
        <v>0</v>
      </c>
      <c r="U315" t="str">
        <v>0.1957</v>
      </c>
    </row>
    <row r="316" spans="1:21" x14ac:dyDescent="0.35">
      <c r="A316" t="s">
        <v>329</v>
      </c>
      <c r="M316" t="str" cm="1">
        <f t="array" ref="M316:U316">_xlfn.TEXTSPLIT(A316, ",")</f>
        <v>28GHz</v>
      </c>
      <c r="N316" t="str">
        <v>23</v>
      </c>
      <c r="O316" t="str">
        <v>512</v>
      </c>
      <c r="P316" t="str">
        <v>50</v>
      </c>
      <c r="Q316" t="str">
        <v>30</v>
      </c>
      <c r="R316" t="str">
        <v>0.000502</v>
      </c>
      <c r="S316" t="str">
        <v>0</v>
      </c>
      <c r="T316" t="str">
        <v>0</v>
      </c>
      <c r="U316" t="str">
        <v>0.1957</v>
      </c>
    </row>
    <row r="317" spans="1:21" x14ac:dyDescent="0.35">
      <c r="A317" t="s">
        <v>330</v>
      </c>
      <c r="M317" t="str" cm="1">
        <f t="array" ref="M317:U317">_xlfn.TEXTSPLIT(A317, ",")</f>
        <v>28GHz</v>
      </c>
      <c r="N317" t="str">
        <v>23</v>
      </c>
      <c r="O317" t="str">
        <v>512</v>
      </c>
      <c r="P317" t="str">
        <v>50</v>
      </c>
      <c r="Q317" t="str">
        <v>60</v>
      </c>
      <c r="R317" t="str">
        <v>0.000502</v>
      </c>
      <c r="S317" t="str">
        <v>0</v>
      </c>
      <c r="T317" t="str">
        <v>0</v>
      </c>
      <c r="U317" t="str">
        <v>0.1957</v>
      </c>
    </row>
    <row r="318" spans="1:21" x14ac:dyDescent="0.35">
      <c r="A318" t="s">
        <v>331</v>
      </c>
      <c r="M318" t="str" cm="1">
        <f t="array" ref="M318:U318">_xlfn.TEXTSPLIT(A318, ",")</f>
        <v>28GHz</v>
      </c>
      <c r="N318" t="str">
        <v>23</v>
      </c>
      <c r="O318" t="str">
        <v>512</v>
      </c>
      <c r="P318" t="str">
        <v>100</v>
      </c>
      <c r="Q318" t="str">
        <v>0</v>
      </c>
      <c r="R318" t="str">
        <v>0.000502</v>
      </c>
      <c r="S318" t="str">
        <v>0</v>
      </c>
      <c r="T318" t="str">
        <v>0</v>
      </c>
      <c r="U318" t="str">
        <v>0.1957</v>
      </c>
    </row>
    <row r="319" spans="1:21" x14ac:dyDescent="0.35">
      <c r="A319" t="s">
        <v>332</v>
      </c>
      <c r="M319" t="str" cm="1">
        <f t="array" ref="M319:U319">_xlfn.TEXTSPLIT(A319, ",")</f>
        <v>28GHz</v>
      </c>
      <c r="N319" t="str">
        <v>23</v>
      </c>
      <c r="O319" t="str">
        <v>512</v>
      </c>
      <c r="P319" t="str">
        <v>100</v>
      </c>
      <c r="Q319" t="str">
        <v>10</v>
      </c>
      <c r="R319" t="str">
        <v>0.000502</v>
      </c>
      <c r="S319" t="str">
        <v>0</v>
      </c>
      <c r="T319" t="str">
        <v>0</v>
      </c>
      <c r="U319" t="str">
        <v>0.1957</v>
      </c>
    </row>
    <row r="320" spans="1:21" x14ac:dyDescent="0.35">
      <c r="A320" t="s">
        <v>333</v>
      </c>
      <c r="M320" t="str" cm="1">
        <f t="array" ref="M320:U320">_xlfn.TEXTSPLIT(A320, ",")</f>
        <v>28GHz</v>
      </c>
      <c r="N320" t="str">
        <v>23</v>
      </c>
      <c r="O320" t="str">
        <v>512</v>
      </c>
      <c r="P320" t="str">
        <v>100</v>
      </c>
      <c r="Q320" t="str">
        <v>30</v>
      </c>
      <c r="R320" t="str">
        <v>0.000502</v>
      </c>
      <c r="S320" t="str">
        <v>0</v>
      </c>
      <c r="T320" t="str">
        <v>0</v>
      </c>
      <c r="U320" t="str">
        <v>0.1957</v>
      </c>
    </row>
    <row r="321" spans="1:21" x14ac:dyDescent="0.35">
      <c r="A321" t="s">
        <v>334</v>
      </c>
      <c r="M321" t="str" cm="1">
        <f t="array" ref="M321:U321">_xlfn.TEXTSPLIT(A321, ",")</f>
        <v>28GHz</v>
      </c>
      <c r="N321" t="str">
        <v>23</v>
      </c>
      <c r="O321" t="str">
        <v>512</v>
      </c>
      <c r="P321" t="str">
        <v>100</v>
      </c>
      <c r="Q321" t="str">
        <v>60</v>
      </c>
      <c r="R321" t="str">
        <v>0.000502</v>
      </c>
      <c r="S321" t="str">
        <v>0</v>
      </c>
      <c r="T321" t="str">
        <v>0</v>
      </c>
      <c r="U321" t="str">
        <v>0.1957</v>
      </c>
    </row>
    <row r="322" spans="1:21" x14ac:dyDescent="0.35">
      <c r="A322" t="s">
        <v>335</v>
      </c>
      <c r="M322" t="str" cm="1">
        <f t="array" ref="M322:U322">_xlfn.TEXTSPLIT(A322, ",")</f>
        <v>28GHz</v>
      </c>
      <c r="N322" t="str">
        <v>23</v>
      </c>
      <c r="O322" t="str">
        <v>1200</v>
      </c>
      <c r="P322" t="str">
        <v>1.5</v>
      </c>
      <c r="Q322" t="str">
        <v>0</v>
      </c>
      <c r="R322" t="str">
        <v>0.000502</v>
      </c>
      <c r="S322" t="str">
        <v>0</v>
      </c>
      <c r="T322" t="str">
        <v>0</v>
      </c>
      <c r="U322" t="str">
        <v>0.444401</v>
      </c>
    </row>
    <row r="323" spans="1:21" x14ac:dyDescent="0.35">
      <c r="A323" t="s">
        <v>336</v>
      </c>
      <c r="M323" t="str" cm="1">
        <f t="array" ref="M323:U323">_xlfn.TEXTSPLIT(A323, ",")</f>
        <v>28GHz</v>
      </c>
      <c r="N323" t="str">
        <v>23</v>
      </c>
      <c r="O323" t="str">
        <v>1200</v>
      </c>
      <c r="P323" t="str">
        <v>1.5</v>
      </c>
      <c r="Q323" t="str">
        <v>10</v>
      </c>
      <c r="R323" t="str">
        <v>0.000502</v>
      </c>
      <c r="S323" t="str">
        <v>0</v>
      </c>
      <c r="T323" t="str">
        <v>0</v>
      </c>
      <c r="U323" t="str">
        <v>0.444401</v>
      </c>
    </row>
    <row r="324" spans="1:21" x14ac:dyDescent="0.35">
      <c r="A324" t="s">
        <v>337</v>
      </c>
      <c r="M324" t="str" cm="1">
        <f t="array" ref="M324:U324">_xlfn.TEXTSPLIT(A324, ",")</f>
        <v>28GHz</v>
      </c>
      <c r="N324" t="str">
        <v>23</v>
      </c>
      <c r="O324" t="str">
        <v>1200</v>
      </c>
      <c r="P324" t="str">
        <v>1.5</v>
      </c>
      <c r="Q324" t="str">
        <v>30</v>
      </c>
      <c r="R324" t="str">
        <v>0.000502</v>
      </c>
      <c r="S324" t="str">
        <v>0</v>
      </c>
      <c r="T324" t="str">
        <v>0</v>
      </c>
      <c r="U324" t="str">
        <v>0.444401</v>
      </c>
    </row>
    <row r="325" spans="1:21" x14ac:dyDescent="0.35">
      <c r="A325" t="s">
        <v>338</v>
      </c>
      <c r="M325" t="str" cm="1">
        <f t="array" ref="M325:U325">_xlfn.TEXTSPLIT(A325, ",")</f>
        <v>28GHz</v>
      </c>
      <c r="N325" t="str">
        <v>23</v>
      </c>
      <c r="O325" t="str">
        <v>1200</v>
      </c>
      <c r="P325" t="str">
        <v>1.5</v>
      </c>
      <c r="Q325" t="str">
        <v>60</v>
      </c>
      <c r="R325" t="str">
        <v>0.000502</v>
      </c>
      <c r="S325" t="str">
        <v>0</v>
      </c>
      <c r="T325" t="str">
        <v>0</v>
      </c>
      <c r="U325" t="str">
        <v>0.444401</v>
      </c>
    </row>
    <row r="326" spans="1:21" x14ac:dyDescent="0.35">
      <c r="A326" t="s">
        <v>339</v>
      </c>
      <c r="M326" t="str" cm="1">
        <f t="array" ref="M326:U326">_xlfn.TEXTSPLIT(A326, ",")</f>
        <v>28GHz</v>
      </c>
      <c r="N326" t="str">
        <v>23</v>
      </c>
      <c r="O326" t="str">
        <v>1200</v>
      </c>
      <c r="P326" t="str">
        <v>20</v>
      </c>
      <c r="Q326" t="str">
        <v>0</v>
      </c>
      <c r="R326" t="str">
        <v>0.000502</v>
      </c>
      <c r="S326" t="str">
        <v>0</v>
      </c>
      <c r="T326" t="str">
        <v>0</v>
      </c>
      <c r="U326" t="str">
        <v>0.444401</v>
      </c>
    </row>
    <row r="327" spans="1:21" x14ac:dyDescent="0.35">
      <c r="A327" t="s">
        <v>340</v>
      </c>
      <c r="M327" t="str" cm="1">
        <f t="array" ref="M327:U327">_xlfn.TEXTSPLIT(A327, ",")</f>
        <v>28GHz</v>
      </c>
      <c r="N327" t="str">
        <v>23</v>
      </c>
      <c r="O327" t="str">
        <v>1200</v>
      </c>
      <c r="P327" t="str">
        <v>20</v>
      </c>
      <c r="Q327" t="str">
        <v>10</v>
      </c>
      <c r="R327" t="str">
        <v>0.000502</v>
      </c>
      <c r="S327" t="str">
        <v>0</v>
      </c>
      <c r="T327" t="str">
        <v>0</v>
      </c>
      <c r="U327" t="str">
        <v>0.444401</v>
      </c>
    </row>
    <row r="328" spans="1:21" x14ac:dyDescent="0.35">
      <c r="A328" t="s">
        <v>341</v>
      </c>
      <c r="M328" t="str" cm="1">
        <f t="array" ref="M328:U328">_xlfn.TEXTSPLIT(A328, ",")</f>
        <v>28GHz</v>
      </c>
      <c r="N328" t="str">
        <v>23</v>
      </c>
      <c r="O328" t="str">
        <v>1200</v>
      </c>
      <c r="P328" t="str">
        <v>20</v>
      </c>
      <c r="Q328" t="str">
        <v>30</v>
      </c>
      <c r="R328" t="str">
        <v>0.000502</v>
      </c>
      <c r="S328" t="str">
        <v>0</v>
      </c>
      <c r="T328" t="str">
        <v>0</v>
      </c>
      <c r="U328" t="str">
        <v>0.444401</v>
      </c>
    </row>
    <row r="329" spans="1:21" x14ac:dyDescent="0.35">
      <c r="A329" t="s">
        <v>342</v>
      </c>
      <c r="M329" t="str" cm="1">
        <f t="array" ref="M329:U329">_xlfn.TEXTSPLIT(A329, ",")</f>
        <v>28GHz</v>
      </c>
      <c r="N329" t="str">
        <v>23</v>
      </c>
      <c r="O329" t="str">
        <v>1200</v>
      </c>
      <c r="P329" t="str">
        <v>20</v>
      </c>
      <c r="Q329" t="str">
        <v>60</v>
      </c>
      <c r="R329" t="str">
        <v>0.000502</v>
      </c>
      <c r="S329" t="str">
        <v>0</v>
      </c>
      <c r="T329" t="str">
        <v>0</v>
      </c>
      <c r="U329" t="str">
        <v>0.444401</v>
      </c>
    </row>
    <row r="330" spans="1:21" x14ac:dyDescent="0.35">
      <c r="A330" t="s">
        <v>343</v>
      </c>
      <c r="M330" t="str" cm="1">
        <f t="array" ref="M330:U330">_xlfn.TEXTSPLIT(A330, ",")</f>
        <v>28GHz</v>
      </c>
      <c r="N330" t="str">
        <v>23</v>
      </c>
      <c r="O330" t="str">
        <v>1200</v>
      </c>
      <c r="P330" t="str">
        <v>50</v>
      </c>
      <c r="Q330" t="str">
        <v>0</v>
      </c>
      <c r="R330" t="str">
        <v>0.000502</v>
      </c>
      <c r="S330" t="str">
        <v>0</v>
      </c>
      <c r="T330" t="str">
        <v>0</v>
      </c>
      <c r="U330" t="str">
        <v>0.444401</v>
      </c>
    </row>
    <row r="331" spans="1:21" x14ac:dyDescent="0.35">
      <c r="A331" t="s">
        <v>344</v>
      </c>
      <c r="M331" t="str" cm="1">
        <f t="array" ref="M331:U331">_xlfn.TEXTSPLIT(A331, ",")</f>
        <v>28GHz</v>
      </c>
      <c r="N331" t="str">
        <v>23</v>
      </c>
      <c r="O331" t="str">
        <v>1200</v>
      </c>
      <c r="P331" t="str">
        <v>50</v>
      </c>
      <c r="Q331" t="str">
        <v>10</v>
      </c>
      <c r="R331" t="str">
        <v>0.000502</v>
      </c>
      <c r="S331" t="str">
        <v>0</v>
      </c>
      <c r="T331" t="str">
        <v>0</v>
      </c>
      <c r="U331" t="str">
        <v>0.444401</v>
      </c>
    </row>
    <row r="332" spans="1:21" x14ac:dyDescent="0.35">
      <c r="A332" t="s">
        <v>345</v>
      </c>
      <c r="M332" t="str" cm="1">
        <f t="array" ref="M332:U332">_xlfn.TEXTSPLIT(A332, ",")</f>
        <v>28GHz</v>
      </c>
      <c r="N332" t="str">
        <v>23</v>
      </c>
      <c r="O332" t="str">
        <v>1200</v>
      </c>
      <c r="P332" t="str">
        <v>50</v>
      </c>
      <c r="Q332" t="str">
        <v>30</v>
      </c>
      <c r="R332" t="str">
        <v>0.000502</v>
      </c>
      <c r="S332" t="str">
        <v>0</v>
      </c>
      <c r="T332" t="str">
        <v>0</v>
      </c>
      <c r="U332" t="str">
        <v>0.444401</v>
      </c>
    </row>
    <row r="333" spans="1:21" x14ac:dyDescent="0.35">
      <c r="A333" t="s">
        <v>346</v>
      </c>
      <c r="M333" t="str" cm="1">
        <f t="array" ref="M333:U333">_xlfn.TEXTSPLIT(A333, ",")</f>
        <v>28GHz</v>
      </c>
      <c r="N333" t="str">
        <v>23</v>
      </c>
      <c r="O333" t="str">
        <v>1200</v>
      </c>
      <c r="P333" t="str">
        <v>50</v>
      </c>
      <c r="Q333" t="str">
        <v>60</v>
      </c>
      <c r="R333" t="str">
        <v>0.000502</v>
      </c>
      <c r="S333" t="str">
        <v>0</v>
      </c>
      <c r="T333" t="str">
        <v>0</v>
      </c>
      <c r="U333" t="str">
        <v>0.444401</v>
      </c>
    </row>
    <row r="334" spans="1:21" x14ac:dyDescent="0.35">
      <c r="A334" t="s">
        <v>347</v>
      </c>
      <c r="M334" t="str" cm="1">
        <f t="array" ref="M334:U334">_xlfn.TEXTSPLIT(A334, ",")</f>
        <v>28GHz</v>
      </c>
      <c r="N334" t="str">
        <v>23</v>
      </c>
      <c r="O334" t="str">
        <v>1200</v>
      </c>
      <c r="P334" t="str">
        <v>100</v>
      </c>
      <c r="Q334" t="str">
        <v>0</v>
      </c>
      <c r="R334" t="str">
        <v>0.000502</v>
      </c>
      <c r="S334" t="str">
        <v>0</v>
      </c>
      <c r="T334" t="str">
        <v>0</v>
      </c>
      <c r="U334" t="str">
        <v>0.444401</v>
      </c>
    </row>
    <row r="335" spans="1:21" x14ac:dyDescent="0.35">
      <c r="A335" t="s">
        <v>348</v>
      </c>
      <c r="M335" t="str" cm="1">
        <f t="array" ref="M335:U335">_xlfn.TEXTSPLIT(A335, ",")</f>
        <v>28GHz</v>
      </c>
      <c r="N335" t="str">
        <v>23</v>
      </c>
      <c r="O335" t="str">
        <v>1200</v>
      </c>
      <c r="P335" t="str">
        <v>100</v>
      </c>
      <c r="Q335" t="str">
        <v>10</v>
      </c>
      <c r="R335" t="str">
        <v>0.000502</v>
      </c>
      <c r="S335" t="str">
        <v>0</v>
      </c>
      <c r="T335" t="str">
        <v>0</v>
      </c>
      <c r="U335" t="str">
        <v>0.444401</v>
      </c>
    </row>
    <row r="336" spans="1:21" x14ac:dyDescent="0.35">
      <c r="A336" t="s">
        <v>349</v>
      </c>
      <c r="M336" t="str" cm="1">
        <f t="array" ref="M336:U336">_xlfn.TEXTSPLIT(A336, ",")</f>
        <v>28GHz</v>
      </c>
      <c r="N336" t="str">
        <v>23</v>
      </c>
      <c r="O336" t="str">
        <v>1200</v>
      </c>
      <c r="P336" t="str">
        <v>100</v>
      </c>
      <c r="Q336" t="str">
        <v>30</v>
      </c>
      <c r="R336" t="str">
        <v>0.000502</v>
      </c>
      <c r="S336" t="str">
        <v>0</v>
      </c>
      <c r="T336" t="str">
        <v>0</v>
      </c>
      <c r="U336" t="str">
        <v>0.444401</v>
      </c>
    </row>
    <row r="337" spans="1:21" x14ac:dyDescent="0.35">
      <c r="A337" t="s">
        <v>350</v>
      </c>
      <c r="M337" t="str" cm="1">
        <f t="array" ref="M337:U337">_xlfn.TEXTSPLIT(A337, ",")</f>
        <v>28GHz</v>
      </c>
      <c r="N337" t="str">
        <v>23</v>
      </c>
      <c r="O337" t="str">
        <v>1200</v>
      </c>
      <c r="P337" t="str">
        <v>100</v>
      </c>
      <c r="Q337" t="str">
        <v>60</v>
      </c>
      <c r="R337" t="str">
        <v>0.000502</v>
      </c>
      <c r="S337" t="str">
        <v>0</v>
      </c>
      <c r="T337" t="str">
        <v>0</v>
      </c>
      <c r="U337" t="str">
        <v>0.444401</v>
      </c>
    </row>
    <row r="338" spans="1:21" x14ac:dyDescent="0.35">
      <c r="A338" t="s">
        <v>351</v>
      </c>
      <c r="M338" t="str" cm="1">
        <f t="array" ref="M338:U338">_xlfn.TEXTSPLIT(A338, ",")</f>
        <v>28GHz</v>
      </c>
      <c r="N338" t="str">
        <v>30</v>
      </c>
      <c r="O338" t="str">
        <v>128</v>
      </c>
      <c r="P338" t="str">
        <v>1.5</v>
      </c>
      <c r="Q338" t="str">
        <v>0</v>
      </c>
      <c r="R338" t="str">
        <v>0.000502</v>
      </c>
      <c r="S338" t="str">
        <v>0</v>
      </c>
      <c r="T338" t="str">
        <v>0</v>
      </c>
      <c r="U338" t="str">
        <v>0.0568897</v>
      </c>
    </row>
    <row r="339" spans="1:21" x14ac:dyDescent="0.35">
      <c r="A339" t="s">
        <v>352</v>
      </c>
      <c r="M339" t="str" cm="1">
        <f t="array" ref="M339:U339">_xlfn.TEXTSPLIT(A339, ",")</f>
        <v>28GHz</v>
      </c>
      <c r="N339" t="str">
        <v>30</v>
      </c>
      <c r="O339" t="str">
        <v>128</v>
      </c>
      <c r="P339" t="str">
        <v>1.5</v>
      </c>
      <c r="Q339" t="str">
        <v>10</v>
      </c>
      <c r="R339" t="str">
        <v>0.000502</v>
      </c>
      <c r="S339" t="str">
        <v>0</v>
      </c>
      <c r="T339" t="str">
        <v>0</v>
      </c>
      <c r="U339" t="str">
        <v>0.0568897</v>
      </c>
    </row>
    <row r="340" spans="1:21" x14ac:dyDescent="0.35">
      <c r="A340" t="s">
        <v>353</v>
      </c>
      <c r="M340" t="str" cm="1">
        <f t="array" ref="M340:U340">_xlfn.TEXTSPLIT(A340, ",")</f>
        <v>28GHz</v>
      </c>
      <c r="N340" t="str">
        <v>30</v>
      </c>
      <c r="O340" t="str">
        <v>128</v>
      </c>
      <c r="P340" t="str">
        <v>1.5</v>
      </c>
      <c r="Q340" t="str">
        <v>30</v>
      </c>
      <c r="R340" t="str">
        <v>0.000502</v>
      </c>
      <c r="S340" t="str">
        <v>0</v>
      </c>
      <c r="T340" t="str">
        <v>0</v>
      </c>
      <c r="U340" t="str">
        <v>0.0568897</v>
      </c>
    </row>
    <row r="341" spans="1:21" x14ac:dyDescent="0.35">
      <c r="A341" t="s">
        <v>354</v>
      </c>
      <c r="M341" t="str" cm="1">
        <f t="array" ref="M341:U341">_xlfn.TEXTSPLIT(A341, ",")</f>
        <v>28GHz</v>
      </c>
      <c r="N341" t="str">
        <v>30</v>
      </c>
      <c r="O341" t="str">
        <v>128</v>
      </c>
      <c r="P341" t="str">
        <v>1.5</v>
      </c>
      <c r="Q341" t="str">
        <v>60</v>
      </c>
      <c r="R341" t="str">
        <v>0.000502</v>
      </c>
      <c r="S341" t="str">
        <v>0</v>
      </c>
      <c r="T341" t="str">
        <v>0</v>
      </c>
      <c r="U341" t="str">
        <v>0.0568897</v>
      </c>
    </row>
    <row r="342" spans="1:21" x14ac:dyDescent="0.35">
      <c r="A342" t="s">
        <v>355</v>
      </c>
      <c r="M342" t="str" cm="1">
        <f t="array" ref="M342:U342">_xlfn.TEXTSPLIT(A342, ",")</f>
        <v>28GHz</v>
      </c>
      <c r="N342" t="str">
        <v>30</v>
      </c>
      <c r="O342" t="str">
        <v>128</v>
      </c>
      <c r="P342" t="str">
        <v>20</v>
      </c>
      <c r="Q342" t="str">
        <v>0</v>
      </c>
      <c r="R342" t="str">
        <v>0.000502</v>
      </c>
      <c r="S342" t="str">
        <v>0</v>
      </c>
      <c r="T342" t="str">
        <v>0</v>
      </c>
      <c r="U342" t="str">
        <v>0.0568897</v>
      </c>
    </row>
    <row r="343" spans="1:21" x14ac:dyDescent="0.35">
      <c r="A343" t="s">
        <v>356</v>
      </c>
      <c r="M343" t="str" cm="1">
        <f t="array" ref="M343:U343">_xlfn.TEXTSPLIT(A343, ",")</f>
        <v>28GHz</v>
      </c>
      <c r="N343" t="str">
        <v>30</v>
      </c>
      <c r="O343" t="str">
        <v>128</v>
      </c>
      <c r="P343" t="str">
        <v>20</v>
      </c>
      <c r="Q343" t="str">
        <v>10</v>
      </c>
      <c r="R343" t="str">
        <v>0.000502</v>
      </c>
      <c r="S343" t="str">
        <v>0</v>
      </c>
      <c r="T343" t="str">
        <v>0</v>
      </c>
      <c r="U343" t="str">
        <v>0.0568897</v>
      </c>
    </row>
    <row r="344" spans="1:21" x14ac:dyDescent="0.35">
      <c r="A344" t="s">
        <v>357</v>
      </c>
      <c r="M344" t="str" cm="1">
        <f t="array" ref="M344:U344">_xlfn.TEXTSPLIT(A344, ",")</f>
        <v>28GHz</v>
      </c>
      <c r="N344" t="str">
        <v>30</v>
      </c>
      <c r="O344" t="str">
        <v>128</v>
      </c>
      <c r="P344" t="str">
        <v>20</v>
      </c>
      <c r="Q344" t="str">
        <v>30</v>
      </c>
      <c r="R344" t="str">
        <v>0.000502</v>
      </c>
      <c r="S344" t="str">
        <v>0</v>
      </c>
      <c r="T344" t="str">
        <v>0</v>
      </c>
      <c r="U344" t="str">
        <v>0.0568897</v>
      </c>
    </row>
    <row r="345" spans="1:21" x14ac:dyDescent="0.35">
      <c r="A345" t="s">
        <v>358</v>
      </c>
      <c r="M345" t="str" cm="1">
        <f t="array" ref="M345:U345">_xlfn.TEXTSPLIT(A345, ",")</f>
        <v>28GHz</v>
      </c>
      <c r="N345" t="str">
        <v>30</v>
      </c>
      <c r="O345" t="str">
        <v>128</v>
      </c>
      <c r="P345" t="str">
        <v>20</v>
      </c>
      <c r="Q345" t="str">
        <v>60</v>
      </c>
      <c r="R345" t="str">
        <v>0.000502</v>
      </c>
      <c r="S345" t="str">
        <v>0</v>
      </c>
      <c r="T345" t="str">
        <v>0</v>
      </c>
      <c r="U345" t="str">
        <v>0.0568897</v>
      </c>
    </row>
    <row r="346" spans="1:21" x14ac:dyDescent="0.35">
      <c r="A346" t="s">
        <v>359</v>
      </c>
      <c r="M346" t="str" cm="1">
        <f t="array" ref="M346:U346">_xlfn.TEXTSPLIT(A346, ",")</f>
        <v>28GHz</v>
      </c>
      <c r="N346" t="str">
        <v>30</v>
      </c>
      <c r="O346" t="str">
        <v>128</v>
      </c>
      <c r="P346" t="str">
        <v>50</v>
      </c>
      <c r="Q346" t="str">
        <v>0</v>
      </c>
      <c r="R346" t="str">
        <v>0.000502</v>
      </c>
      <c r="S346" t="str">
        <v>0</v>
      </c>
      <c r="T346" t="str">
        <v>0</v>
      </c>
      <c r="U346" t="str">
        <v>0.0568897</v>
      </c>
    </row>
    <row r="347" spans="1:21" x14ac:dyDescent="0.35">
      <c r="A347" t="s">
        <v>360</v>
      </c>
      <c r="M347" t="str" cm="1">
        <f t="array" ref="M347:U347">_xlfn.TEXTSPLIT(A347, ",")</f>
        <v>28GHz</v>
      </c>
      <c r="N347" t="str">
        <v>30</v>
      </c>
      <c r="O347" t="str">
        <v>128</v>
      </c>
      <c r="P347" t="str">
        <v>50</v>
      </c>
      <c r="Q347" t="str">
        <v>10</v>
      </c>
      <c r="R347" t="str">
        <v>0.000502</v>
      </c>
      <c r="S347" t="str">
        <v>0</v>
      </c>
      <c r="T347" t="str">
        <v>0</v>
      </c>
      <c r="U347" t="str">
        <v>0.0568897</v>
      </c>
    </row>
    <row r="348" spans="1:21" x14ac:dyDescent="0.35">
      <c r="A348" t="s">
        <v>361</v>
      </c>
      <c r="M348" t="str" cm="1">
        <f t="array" ref="M348:U348">_xlfn.TEXTSPLIT(A348, ",")</f>
        <v>28GHz</v>
      </c>
      <c r="N348" t="str">
        <v>30</v>
      </c>
      <c r="O348" t="str">
        <v>128</v>
      </c>
      <c r="P348" t="str">
        <v>50</v>
      </c>
      <c r="Q348" t="str">
        <v>30</v>
      </c>
      <c r="R348" t="str">
        <v>0.000502</v>
      </c>
      <c r="S348" t="str">
        <v>0</v>
      </c>
      <c r="T348" t="str">
        <v>0</v>
      </c>
      <c r="U348" t="str">
        <v>0.0568897</v>
      </c>
    </row>
    <row r="349" spans="1:21" x14ac:dyDescent="0.35">
      <c r="A349" t="s">
        <v>362</v>
      </c>
      <c r="M349" t="str" cm="1">
        <f t="array" ref="M349:U349">_xlfn.TEXTSPLIT(A349, ",")</f>
        <v>28GHz</v>
      </c>
      <c r="N349" t="str">
        <v>30</v>
      </c>
      <c r="O349" t="str">
        <v>128</v>
      </c>
      <c r="P349" t="str">
        <v>50</v>
      </c>
      <c r="Q349" t="str">
        <v>60</v>
      </c>
      <c r="R349" t="str">
        <v>0.000502</v>
      </c>
      <c r="S349" t="str">
        <v>0</v>
      </c>
      <c r="T349" t="str">
        <v>0</v>
      </c>
      <c r="U349" t="str">
        <v>0.0568897</v>
      </c>
    </row>
    <row r="350" spans="1:21" x14ac:dyDescent="0.35">
      <c r="A350" t="s">
        <v>363</v>
      </c>
      <c r="M350" t="str" cm="1">
        <f t="array" ref="M350:U350">_xlfn.TEXTSPLIT(A350, ",")</f>
        <v>28GHz</v>
      </c>
      <c r="N350" t="str">
        <v>30</v>
      </c>
      <c r="O350" t="str">
        <v>128</v>
      </c>
      <c r="P350" t="str">
        <v>100</v>
      </c>
      <c r="Q350" t="str">
        <v>0</v>
      </c>
      <c r="R350" t="str">
        <v>0.000502</v>
      </c>
      <c r="S350" t="str">
        <v>0</v>
      </c>
      <c r="T350" t="str">
        <v>0</v>
      </c>
      <c r="U350" t="str">
        <v>0.0568897</v>
      </c>
    </row>
    <row r="351" spans="1:21" x14ac:dyDescent="0.35">
      <c r="A351" t="s">
        <v>364</v>
      </c>
      <c r="M351" t="str" cm="1">
        <f t="array" ref="M351:U351">_xlfn.TEXTSPLIT(A351, ",")</f>
        <v>28GHz</v>
      </c>
      <c r="N351" t="str">
        <v>30</v>
      </c>
      <c r="O351" t="str">
        <v>128</v>
      </c>
      <c r="P351" t="str">
        <v>100</v>
      </c>
      <c r="Q351" t="str">
        <v>10</v>
      </c>
      <c r="R351" t="str">
        <v>0.000502</v>
      </c>
      <c r="S351" t="str">
        <v>0</v>
      </c>
      <c r="T351" t="str">
        <v>0</v>
      </c>
      <c r="U351" t="str">
        <v>0.0568897</v>
      </c>
    </row>
    <row r="352" spans="1:21" x14ac:dyDescent="0.35">
      <c r="A352" t="s">
        <v>365</v>
      </c>
      <c r="M352" t="str" cm="1">
        <f t="array" ref="M352:U352">_xlfn.TEXTSPLIT(A352, ",")</f>
        <v>28GHz</v>
      </c>
      <c r="N352" t="str">
        <v>30</v>
      </c>
      <c r="O352" t="str">
        <v>128</v>
      </c>
      <c r="P352" t="str">
        <v>100</v>
      </c>
      <c r="Q352" t="str">
        <v>30</v>
      </c>
      <c r="R352" t="str">
        <v>0.000502</v>
      </c>
      <c r="S352" t="str">
        <v>0</v>
      </c>
      <c r="T352" t="str">
        <v>0</v>
      </c>
      <c r="U352" t="str">
        <v>0.0568897</v>
      </c>
    </row>
    <row r="353" spans="1:21" x14ac:dyDescent="0.35">
      <c r="A353" t="s">
        <v>366</v>
      </c>
      <c r="M353" t="str" cm="1">
        <f t="array" ref="M353:U353">_xlfn.TEXTSPLIT(A353, ",")</f>
        <v>28GHz</v>
      </c>
      <c r="N353" t="str">
        <v>30</v>
      </c>
      <c r="O353" t="str">
        <v>128</v>
      </c>
      <c r="P353" t="str">
        <v>100</v>
      </c>
      <c r="Q353" t="str">
        <v>60</v>
      </c>
      <c r="R353" t="str">
        <v>0.000502</v>
      </c>
      <c r="S353" t="str">
        <v>0</v>
      </c>
      <c r="T353" t="str">
        <v>0</v>
      </c>
      <c r="U353" t="str">
        <v>0.0568897</v>
      </c>
    </row>
    <row r="354" spans="1:21" x14ac:dyDescent="0.35">
      <c r="A354" t="s">
        <v>367</v>
      </c>
      <c r="M354" t="str" cm="1">
        <f t="array" ref="M354:U354">_xlfn.TEXTSPLIT(A354, ",")</f>
        <v>28GHz</v>
      </c>
      <c r="N354" t="str">
        <v>30</v>
      </c>
      <c r="O354" t="str">
        <v>512</v>
      </c>
      <c r="P354" t="str">
        <v>1.5</v>
      </c>
      <c r="Q354" t="str">
        <v>0</v>
      </c>
      <c r="R354" t="str">
        <v>0.000502</v>
      </c>
      <c r="S354" t="str">
        <v>0</v>
      </c>
      <c r="T354" t="str">
        <v>0</v>
      </c>
      <c r="U354" t="str">
        <v>0.1957</v>
      </c>
    </row>
    <row r="355" spans="1:21" x14ac:dyDescent="0.35">
      <c r="A355" t="s">
        <v>368</v>
      </c>
      <c r="M355" t="str" cm="1">
        <f t="array" ref="M355:U355">_xlfn.TEXTSPLIT(A355, ",")</f>
        <v>28GHz</v>
      </c>
      <c r="N355" t="str">
        <v>30</v>
      </c>
      <c r="O355" t="str">
        <v>512</v>
      </c>
      <c r="P355" t="str">
        <v>1.5</v>
      </c>
      <c r="Q355" t="str">
        <v>10</v>
      </c>
      <c r="R355" t="str">
        <v>0.000502</v>
      </c>
      <c r="S355" t="str">
        <v>0</v>
      </c>
      <c r="T355" t="str">
        <v>0</v>
      </c>
      <c r="U355" t="str">
        <v>0.1957</v>
      </c>
    </row>
    <row r="356" spans="1:21" x14ac:dyDescent="0.35">
      <c r="A356" t="s">
        <v>369</v>
      </c>
      <c r="M356" t="str" cm="1">
        <f t="array" ref="M356:U356">_xlfn.TEXTSPLIT(A356, ",")</f>
        <v>28GHz</v>
      </c>
      <c r="N356" t="str">
        <v>30</v>
      </c>
      <c r="O356" t="str">
        <v>512</v>
      </c>
      <c r="P356" t="str">
        <v>1.5</v>
      </c>
      <c r="Q356" t="str">
        <v>30</v>
      </c>
      <c r="R356" t="str">
        <v>0.000502</v>
      </c>
      <c r="S356" t="str">
        <v>0</v>
      </c>
      <c r="T356" t="str">
        <v>0</v>
      </c>
      <c r="U356" t="str">
        <v>0.1957</v>
      </c>
    </row>
    <row r="357" spans="1:21" x14ac:dyDescent="0.35">
      <c r="A357" t="s">
        <v>370</v>
      </c>
      <c r="M357" t="str" cm="1">
        <f t="array" ref="M357:U357">_xlfn.TEXTSPLIT(A357, ",")</f>
        <v>28GHz</v>
      </c>
      <c r="N357" t="str">
        <v>30</v>
      </c>
      <c r="O357" t="str">
        <v>512</v>
      </c>
      <c r="P357" t="str">
        <v>1.5</v>
      </c>
      <c r="Q357" t="str">
        <v>60</v>
      </c>
      <c r="R357" t="str">
        <v>0.000502</v>
      </c>
      <c r="S357" t="str">
        <v>0</v>
      </c>
      <c r="T357" t="str">
        <v>0</v>
      </c>
      <c r="U357" t="str">
        <v>0.1957</v>
      </c>
    </row>
    <row r="358" spans="1:21" x14ac:dyDescent="0.35">
      <c r="A358" t="s">
        <v>371</v>
      </c>
      <c r="M358" t="str" cm="1">
        <f t="array" ref="M358:U358">_xlfn.TEXTSPLIT(A358, ",")</f>
        <v>28GHz</v>
      </c>
      <c r="N358" t="str">
        <v>30</v>
      </c>
      <c r="O358" t="str">
        <v>512</v>
      </c>
      <c r="P358" t="str">
        <v>20</v>
      </c>
      <c r="Q358" t="str">
        <v>0</v>
      </c>
      <c r="R358" t="str">
        <v>0.000502</v>
      </c>
      <c r="S358" t="str">
        <v>0</v>
      </c>
      <c r="T358" t="str">
        <v>0</v>
      </c>
      <c r="U358" t="str">
        <v>0.1957</v>
      </c>
    </row>
    <row r="359" spans="1:21" x14ac:dyDescent="0.35">
      <c r="A359" t="s">
        <v>372</v>
      </c>
      <c r="M359" t="str" cm="1">
        <f t="array" ref="M359:U359">_xlfn.TEXTSPLIT(A359, ",")</f>
        <v>28GHz</v>
      </c>
      <c r="N359" t="str">
        <v>30</v>
      </c>
      <c r="O359" t="str">
        <v>512</v>
      </c>
      <c r="P359" t="str">
        <v>20</v>
      </c>
      <c r="Q359" t="str">
        <v>10</v>
      </c>
      <c r="R359" t="str">
        <v>0.000502</v>
      </c>
      <c r="S359" t="str">
        <v>0</v>
      </c>
      <c r="T359" t="str">
        <v>0</v>
      </c>
      <c r="U359" t="str">
        <v>0.1957</v>
      </c>
    </row>
    <row r="360" spans="1:21" x14ac:dyDescent="0.35">
      <c r="A360" t="s">
        <v>373</v>
      </c>
      <c r="M360" t="str" cm="1">
        <f t="array" ref="M360:U360">_xlfn.TEXTSPLIT(A360, ",")</f>
        <v>28GHz</v>
      </c>
      <c r="N360" t="str">
        <v>30</v>
      </c>
      <c r="O360" t="str">
        <v>512</v>
      </c>
      <c r="P360" t="str">
        <v>20</v>
      </c>
      <c r="Q360" t="str">
        <v>30</v>
      </c>
      <c r="R360" t="str">
        <v>0.000502</v>
      </c>
      <c r="S360" t="str">
        <v>0</v>
      </c>
      <c r="T360" t="str">
        <v>0</v>
      </c>
      <c r="U360" t="str">
        <v>0.1957</v>
      </c>
    </row>
    <row r="361" spans="1:21" x14ac:dyDescent="0.35">
      <c r="A361" t="s">
        <v>374</v>
      </c>
      <c r="M361" t="str" cm="1">
        <f t="array" ref="M361:U361">_xlfn.TEXTSPLIT(A361, ",")</f>
        <v>28GHz</v>
      </c>
      <c r="N361" t="str">
        <v>30</v>
      </c>
      <c r="O361" t="str">
        <v>512</v>
      </c>
      <c r="P361" t="str">
        <v>20</v>
      </c>
      <c r="Q361" t="str">
        <v>60</v>
      </c>
      <c r="R361" t="str">
        <v>0.000502</v>
      </c>
      <c r="S361" t="str">
        <v>0</v>
      </c>
      <c r="T361" t="str">
        <v>0</v>
      </c>
      <c r="U361" t="str">
        <v>0.1957</v>
      </c>
    </row>
    <row r="362" spans="1:21" x14ac:dyDescent="0.35">
      <c r="A362" t="s">
        <v>375</v>
      </c>
      <c r="M362" t="str" cm="1">
        <f t="array" ref="M362:U362">_xlfn.TEXTSPLIT(A362, ",")</f>
        <v>28GHz</v>
      </c>
      <c r="N362" t="str">
        <v>30</v>
      </c>
      <c r="O362" t="str">
        <v>512</v>
      </c>
      <c r="P362" t="str">
        <v>50</v>
      </c>
      <c r="Q362" t="str">
        <v>0</v>
      </c>
      <c r="R362" t="str">
        <v>0.000502</v>
      </c>
      <c r="S362" t="str">
        <v>0</v>
      </c>
      <c r="T362" t="str">
        <v>0</v>
      </c>
      <c r="U362" t="str">
        <v>0.1957</v>
      </c>
    </row>
    <row r="363" spans="1:21" x14ac:dyDescent="0.35">
      <c r="A363" t="s">
        <v>376</v>
      </c>
      <c r="M363" t="str" cm="1">
        <f t="array" ref="M363:U363">_xlfn.TEXTSPLIT(A363, ",")</f>
        <v>28GHz</v>
      </c>
      <c r="N363" t="str">
        <v>30</v>
      </c>
      <c r="O363" t="str">
        <v>512</v>
      </c>
      <c r="P363" t="str">
        <v>50</v>
      </c>
      <c r="Q363" t="str">
        <v>10</v>
      </c>
      <c r="R363" t="str">
        <v>0.000502</v>
      </c>
      <c r="S363" t="str">
        <v>0</v>
      </c>
      <c r="T363" t="str">
        <v>0</v>
      </c>
      <c r="U363" t="str">
        <v>0.1957</v>
      </c>
    </row>
    <row r="364" spans="1:21" x14ac:dyDescent="0.35">
      <c r="A364" t="s">
        <v>377</v>
      </c>
      <c r="M364" t="str" cm="1">
        <f t="array" ref="M364:U364">_xlfn.TEXTSPLIT(A364, ",")</f>
        <v>28GHz</v>
      </c>
      <c r="N364" t="str">
        <v>30</v>
      </c>
      <c r="O364" t="str">
        <v>512</v>
      </c>
      <c r="P364" t="str">
        <v>50</v>
      </c>
      <c r="Q364" t="str">
        <v>30</v>
      </c>
      <c r="R364" t="str">
        <v>0.000502</v>
      </c>
      <c r="S364" t="str">
        <v>0</v>
      </c>
      <c r="T364" t="str">
        <v>0</v>
      </c>
      <c r="U364" t="str">
        <v>0.1957</v>
      </c>
    </row>
    <row r="365" spans="1:21" x14ac:dyDescent="0.35">
      <c r="A365" t="s">
        <v>378</v>
      </c>
      <c r="M365" t="str" cm="1">
        <f t="array" ref="M365:U365">_xlfn.TEXTSPLIT(A365, ",")</f>
        <v>28GHz</v>
      </c>
      <c r="N365" t="str">
        <v>30</v>
      </c>
      <c r="O365" t="str">
        <v>512</v>
      </c>
      <c r="P365" t="str">
        <v>50</v>
      </c>
      <c r="Q365" t="str">
        <v>60</v>
      </c>
      <c r="R365" t="str">
        <v>0.000502</v>
      </c>
      <c r="S365" t="str">
        <v>0</v>
      </c>
      <c r="T365" t="str">
        <v>0</v>
      </c>
      <c r="U365" t="str">
        <v>0.1957</v>
      </c>
    </row>
    <row r="366" spans="1:21" x14ac:dyDescent="0.35">
      <c r="A366" t="s">
        <v>379</v>
      </c>
      <c r="M366" t="str" cm="1">
        <f t="array" ref="M366:U366">_xlfn.TEXTSPLIT(A366, ",")</f>
        <v>28GHz</v>
      </c>
      <c r="N366" t="str">
        <v>30</v>
      </c>
      <c r="O366" t="str">
        <v>512</v>
      </c>
      <c r="P366" t="str">
        <v>100</v>
      </c>
      <c r="Q366" t="str">
        <v>0</v>
      </c>
      <c r="R366" t="str">
        <v>0.000502</v>
      </c>
      <c r="S366" t="str">
        <v>0</v>
      </c>
      <c r="T366" t="str">
        <v>0</v>
      </c>
      <c r="U366" t="str">
        <v>0.1957</v>
      </c>
    </row>
    <row r="367" spans="1:21" x14ac:dyDescent="0.35">
      <c r="A367" t="s">
        <v>380</v>
      </c>
      <c r="M367" t="str" cm="1">
        <f t="array" ref="M367:U367">_xlfn.TEXTSPLIT(A367, ",")</f>
        <v>28GHz</v>
      </c>
      <c r="N367" t="str">
        <v>30</v>
      </c>
      <c r="O367" t="str">
        <v>512</v>
      </c>
      <c r="P367" t="str">
        <v>100</v>
      </c>
      <c r="Q367" t="str">
        <v>10</v>
      </c>
      <c r="R367" t="str">
        <v>0.000502</v>
      </c>
      <c r="S367" t="str">
        <v>0</v>
      </c>
      <c r="T367" t="str">
        <v>0</v>
      </c>
      <c r="U367" t="str">
        <v>0.1957</v>
      </c>
    </row>
    <row r="368" spans="1:21" x14ac:dyDescent="0.35">
      <c r="A368" t="s">
        <v>381</v>
      </c>
      <c r="M368" t="str" cm="1">
        <f t="array" ref="M368:U368">_xlfn.TEXTSPLIT(A368, ",")</f>
        <v>28GHz</v>
      </c>
      <c r="N368" t="str">
        <v>30</v>
      </c>
      <c r="O368" t="str">
        <v>512</v>
      </c>
      <c r="P368" t="str">
        <v>100</v>
      </c>
      <c r="Q368" t="str">
        <v>30</v>
      </c>
      <c r="R368" t="str">
        <v>0.000502</v>
      </c>
      <c r="S368" t="str">
        <v>0</v>
      </c>
      <c r="T368" t="str">
        <v>0</v>
      </c>
      <c r="U368" t="str">
        <v>0.1957</v>
      </c>
    </row>
    <row r="369" spans="1:21" x14ac:dyDescent="0.35">
      <c r="A369" t="s">
        <v>382</v>
      </c>
      <c r="M369" t="str" cm="1">
        <f t="array" ref="M369:U369">_xlfn.TEXTSPLIT(A369, ",")</f>
        <v>28GHz</v>
      </c>
      <c r="N369" t="str">
        <v>30</v>
      </c>
      <c r="O369" t="str">
        <v>512</v>
      </c>
      <c r="P369" t="str">
        <v>100</v>
      </c>
      <c r="Q369" t="str">
        <v>60</v>
      </c>
      <c r="R369" t="str">
        <v>0.000502</v>
      </c>
      <c r="S369" t="str">
        <v>0</v>
      </c>
      <c r="T369" t="str">
        <v>0</v>
      </c>
      <c r="U369" t="str">
        <v>0.1957</v>
      </c>
    </row>
    <row r="370" spans="1:21" x14ac:dyDescent="0.35">
      <c r="A370" t="s">
        <v>383</v>
      </c>
      <c r="M370" t="str" cm="1">
        <f t="array" ref="M370:U370">_xlfn.TEXTSPLIT(A370, ",")</f>
        <v>28GHz</v>
      </c>
      <c r="N370" t="str">
        <v>30</v>
      </c>
      <c r="O370" t="str">
        <v>1200</v>
      </c>
      <c r="P370" t="str">
        <v>1.5</v>
      </c>
      <c r="Q370" t="str">
        <v>0</v>
      </c>
      <c r="R370" t="str">
        <v>0.000502</v>
      </c>
      <c r="S370" t="str">
        <v>0</v>
      </c>
      <c r="T370" t="str">
        <v>0</v>
      </c>
      <c r="U370" t="str">
        <v>0.444401</v>
      </c>
    </row>
    <row r="371" spans="1:21" x14ac:dyDescent="0.35">
      <c r="A371" t="s">
        <v>384</v>
      </c>
      <c r="M371" t="str" cm="1">
        <f t="array" ref="M371:U371">_xlfn.TEXTSPLIT(A371, ",")</f>
        <v>28GHz</v>
      </c>
      <c r="N371" t="str">
        <v>30</v>
      </c>
      <c r="O371" t="str">
        <v>1200</v>
      </c>
      <c r="P371" t="str">
        <v>1.5</v>
      </c>
      <c r="Q371" t="str">
        <v>10</v>
      </c>
      <c r="R371" t="str">
        <v>0.000502</v>
      </c>
      <c r="S371" t="str">
        <v>0</v>
      </c>
      <c r="T371" t="str">
        <v>0</v>
      </c>
      <c r="U371" t="str">
        <v>0.444401</v>
      </c>
    </row>
    <row r="372" spans="1:21" x14ac:dyDescent="0.35">
      <c r="A372" t="s">
        <v>385</v>
      </c>
      <c r="M372" t="str" cm="1">
        <f t="array" ref="M372:U372">_xlfn.TEXTSPLIT(A372, ",")</f>
        <v>28GHz</v>
      </c>
      <c r="N372" t="str">
        <v>30</v>
      </c>
      <c r="O372" t="str">
        <v>1200</v>
      </c>
      <c r="P372" t="str">
        <v>1.5</v>
      </c>
      <c r="Q372" t="str">
        <v>30</v>
      </c>
      <c r="R372" t="str">
        <v>0.000502</v>
      </c>
      <c r="S372" t="str">
        <v>0</v>
      </c>
      <c r="T372" t="str">
        <v>0</v>
      </c>
      <c r="U372" t="str">
        <v>0.444401</v>
      </c>
    </row>
    <row r="373" spans="1:21" x14ac:dyDescent="0.35">
      <c r="A373" t="s">
        <v>386</v>
      </c>
      <c r="M373" t="str" cm="1">
        <f t="array" ref="M373:U373">_xlfn.TEXTSPLIT(A373, ",")</f>
        <v>28GHz</v>
      </c>
      <c r="N373" t="str">
        <v>30</v>
      </c>
      <c r="O373" t="str">
        <v>1200</v>
      </c>
      <c r="P373" t="str">
        <v>1.5</v>
      </c>
      <c r="Q373" t="str">
        <v>60</v>
      </c>
      <c r="R373" t="str">
        <v>0.000502</v>
      </c>
      <c r="S373" t="str">
        <v>0</v>
      </c>
      <c r="T373" t="str">
        <v>0</v>
      </c>
      <c r="U373" t="str">
        <v>0.444401</v>
      </c>
    </row>
    <row r="374" spans="1:21" x14ac:dyDescent="0.35">
      <c r="A374" t="s">
        <v>387</v>
      </c>
      <c r="M374" t="str" cm="1">
        <f t="array" ref="M374:U374">_xlfn.TEXTSPLIT(A374, ",")</f>
        <v>28GHz</v>
      </c>
      <c r="N374" t="str">
        <v>30</v>
      </c>
      <c r="O374" t="str">
        <v>1200</v>
      </c>
      <c r="P374" t="str">
        <v>20</v>
      </c>
      <c r="Q374" t="str">
        <v>0</v>
      </c>
      <c r="R374" t="str">
        <v>0.000502</v>
      </c>
      <c r="S374" t="str">
        <v>0</v>
      </c>
      <c r="T374" t="str">
        <v>0</v>
      </c>
      <c r="U374" t="str">
        <v>0.444401</v>
      </c>
    </row>
    <row r="375" spans="1:21" x14ac:dyDescent="0.35">
      <c r="A375" t="s">
        <v>388</v>
      </c>
      <c r="M375" t="str" cm="1">
        <f t="array" ref="M375:U375">_xlfn.TEXTSPLIT(A375, ",")</f>
        <v>28GHz</v>
      </c>
      <c r="N375" t="str">
        <v>30</v>
      </c>
      <c r="O375" t="str">
        <v>1200</v>
      </c>
      <c r="P375" t="str">
        <v>20</v>
      </c>
      <c r="Q375" t="str">
        <v>10</v>
      </c>
      <c r="R375" t="str">
        <v>0.000502</v>
      </c>
      <c r="S375" t="str">
        <v>0</v>
      </c>
      <c r="T375" t="str">
        <v>0</v>
      </c>
      <c r="U375" t="str">
        <v>0.444401</v>
      </c>
    </row>
    <row r="376" spans="1:21" x14ac:dyDescent="0.35">
      <c r="A376" t="s">
        <v>389</v>
      </c>
      <c r="M376" t="str" cm="1">
        <f t="array" ref="M376:U376">_xlfn.TEXTSPLIT(A376, ",")</f>
        <v>28GHz</v>
      </c>
      <c r="N376" t="str">
        <v>30</v>
      </c>
      <c r="O376" t="str">
        <v>1200</v>
      </c>
      <c r="P376" t="str">
        <v>20</v>
      </c>
      <c r="Q376" t="str">
        <v>30</v>
      </c>
      <c r="R376" t="str">
        <v>0.000502</v>
      </c>
      <c r="S376" t="str">
        <v>0</v>
      </c>
      <c r="T376" t="str">
        <v>0</v>
      </c>
      <c r="U376" t="str">
        <v>0.444401</v>
      </c>
    </row>
    <row r="377" spans="1:21" x14ac:dyDescent="0.35">
      <c r="A377" t="s">
        <v>390</v>
      </c>
      <c r="M377" t="str" cm="1">
        <f t="array" ref="M377:U377">_xlfn.TEXTSPLIT(A377, ",")</f>
        <v>28GHz</v>
      </c>
      <c r="N377" t="str">
        <v>30</v>
      </c>
      <c r="O377" t="str">
        <v>1200</v>
      </c>
      <c r="P377" t="str">
        <v>20</v>
      </c>
      <c r="Q377" t="str">
        <v>60</v>
      </c>
      <c r="R377" t="str">
        <v>0.000502</v>
      </c>
      <c r="S377" t="str">
        <v>0</v>
      </c>
      <c r="T377" t="str">
        <v>0</v>
      </c>
      <c r="U377" t="str">
        <v>0.444401</v>
      </c>
    </row>
    <row r="378" spans="1:21" x14ac:dyDescent="0.35">
      <c r="A378" t="s">
        <v>391</v>
      </c>
      <c r="M378" t="str" cm="1">
        <f t="array" ref="M378:U378">_xlfn.TEXTSPLIT(A378, ",")</f>
        <v>28GHz</v>
      </c>
      <c r="N378" t="str">
        <v>30</v>
      </c>
      <c r="O378" t="str">
        <v>1200</v>
      </c>
      <c r="P378" t="str">
        <v>50</v>
      </c>
      <c r="Q378" t="str">
        <v>0</v>
      </c>
      <c r="R378" t="str">
        <v>0.000502</v>
      </c>
      <c r="S378" t="str">
        <v>0</v>
      </c>
      <c r="T378" t="str">
        <v>0</v>
      </c>
      <c r="U378" t="str">
        <v>0.444401</v>
      </c>
    </row>
    <row r="379" spans="1:21" x14ac:dyDescent="0.35">
      <c r="A379" t="s">
        <v>392</v>
      </c>
      <c r="M379" t="str" cm="1">
        <f t="array" ref="M379:U379">_xlfn.TEXTSPLIT(A379, ",")</f>
        <v>28GHz</v>
      </c>
      <c r="N379" t="str">
        <v>30</v>
      </c>
      <c r="O379" t="str">
        <v>1200</v>
      </c>
      <c r="P379" t="str">
        <v>50</v>
      </c>
      <c r="Q379" t="str">
        <v>10</v>
      </c>
      <c r="R379" t="str">
        <v>0.000502</v>
      </c>
      <c r="S379" t="str">
        <v>0</v>
      </c>
      <c r="T379" t="str">
        <v>0</v>
      </c>
      <c r="U379" t="str">
        <v>0.444401</v>
      </c>
    </row>
    <row r="380" spans="1:21" x14ac:dyDescent="0.35">
      <c r="A380" t="s">
        <v>393</v>
      </c>
      <c r="M380" t="str" cm="1">
        <f t="array" ref="M380:U380">_xlfn.TEXTSPLIT(A380, ",")</f>
        <v>28GHz</v>
      </c>
      <c r="N380" t="str">
        <v>30</v>
      </c>
      <c r="O380" t="str">
        <v>1200</v>
      </c>
      <c r="P380" t="str">
        <v>50</v>
      </c>
      <c r="Q380" t="str">
        <v>30</v>
      </c>
      <c r="R380" t="str">
        <v>0.000502</v>
      </c>
      <c r="S380" t="str">
        <v>0</v>
      </c>
      <c r="T380" t="str">
        <v>0</v>
      </c>
      <c r="U380" t="str">
        <v>0.444401</v>
      </c>
    </row>
    <row r="381" spans="1:21" x14ac:dyDescent="0.35">
      <c r="A381" t="s">
        <v>394</v>
      </c>
      <c r="M381" t="str" cm="1">
        <f t="array" ref="M381:U381">_xlfn.TEXTSPLIT(A381, ",")</f>
        <v>28GHz</v>
      </c>
      <c r="N381" t="str">
        <v>30</v>
      </c>
      <c r="O381" t="str">
        <v>1200</v>
      </c>
      <c r="P381" t="str">
        <v>50</v>
      </c>
      <c r="Q381" t="str">
        <v>60</v>
      </c>
      <c r="R381" t="str">
        <v>0.000502</v>
      </c>
      <c r="S381" t="str">
        <v>0</v>
      </c>
      <c r="T381" t="str">
        <v>0</v>
      </c>
      <c r="U381" t="str">
        <v>0.444401</v>
      </c>
    </row>
    <row r="382" spans="1:21" x14ac:dyDescent="0.35">
      <c r="A382" t="s">
        <v>395</v>
      </c>
      <c r="M382" t="str" cm="1">
        <f t="array" ref="M382:U382">_xlfn.TEXTSPLIT(A382, ",")</f>
        <v>28GHz</v>
      </c>
      <c r="N382" t="str">
        <v>30</v>
      </c>
      <c r="O382" t="str">
        <v>1200</v>
      </c>
      <c r="P382" t="str">
        <v>100</v>
      </c>
      <c r="Q382" t="str">
        <v>0</v>
      </c>
      <c r="R382" t="str">
        <v>0.000502</v>
      </c>
      <c r="S382" t="str">
        <v>0</v>
      </c>
      <c r="T382" t="str">
        <v>0</v>
      </c>
      <c r="U382" t="str">
        <v>0.444401</v>
      </c>
    </row>
    <row r="383" spans="1:21" x14ac:dyDescent="0.35">
      <c r="A383" t="s">
        <v>396</v>
      </c>
      <c r="M383" t="str" cm="1">
        <f t="array" ref="M383:U383">_xlfn.TEXTSPLIT(A383, ",")</f>
        <v>28GHz</v>
      </c>
      <c r="N383" t="str">
        <v>30</v>
      </c>
      <c r="O383" t="str">
        <v>1200</v>
      </c>
      <c r="P383" t="str">
        <v>100</v>
      </c>
      <c r="Q383" t="str">
        <v>10</v>
      </c>
      <c r="R383" t="str">
        <v>0.000502</v>
      </c>
      <c r="S383" t="str">
        <v>0</v>
      </c>
      <c r="T383" t="str">
        <v>0</v>
      </c>
      <c r="U383" t="str">
        <v>0.444401</v>
      </c>
    </row>
    <row r="384" spans="1:21" x14ac:dyDescent="0.35">
      <c r="A384" t="s">
        <v>397</v>
      </c>
      <c r="M384" t="str" cm="1">
        <f t="array" ref="M384:U384">_xlfn.TEXTSPLIT(A384, ",")</f>
        <v>28GHz</v>
      </c>
      <c r="N384" t="str">
        <v>30</v>
      </c>
      <c r="O384" t="str">
        <v>1200</v>
      </c>
      <c r="P384" t="str">
        <v>100</v>
      </c>
      <c r="Q384" t="str">
        <v>30</v>
      </c>
      <c r="R384" t="str">
        <v>0.000502</v>
      </c>
      <c r="S384" t="str">
        <v>0</v>
      </c>
      <c r="T384" t="str">
        <v>0</v>
      </c>
      <c r="U384" t="str">
        <v>0.444401</v>
      </c>
    </row>
    <row r="385" spans="1:21" x14ac:dyDescent="0.35">
      <c r="A385" t="s">
        <v>398</v>
      </c>
      <c r="M385" t="str" cm="1">
        <f t="array" ref="M385:U385">_xlfn.TEXTSPLIT(A385, ",")</f>
        <v>28GHz</v>
      </c>
      <c r="N385" t="str">
        <v>30</v>
      </c>
      <c r="O385" t="str">
        <v>1200</v>
      </c>
      <c r="P385" t="str">
        <v>100</v>
      </c>
      <c r="Q385" t="str">
        <v>60</v>
      </c>
      <c r="R385" t="str">
        <v>0.000502</v>
      </c>
      <c r="S385" t="str">
        <v>0</v>
      </c>
      <c r="T385" t="str">
        <v>0</v>
      </c>
      <c r="U385" t="str">
        <v>0.444401</v>
      </c>
    </row>
    <row r="386" spans="1:21" x14ac:dyDescent="0.35">
      <c r="A386" t="s">
        <v>399</v>
      </c>
      <c r="M386" t="str" cm="1">
        <f t="array" ref="M386:U386">_xlfn.TEXTSPLIT(A386, ",")</f>
        <v>28GHz</v>
      </c>
      <c r="N386" t="str">
        <v>37</v>
      </c>
      <c r="O386" t="str">
        <v>128</v>
      </c>
      <c r="P386" t="str">
        <v>1.5</v>
      </c>
      <c r="Q386" t="str">
        <v>0</v>
      </c>
      <c r="R386" t="str">
        <v>0.000502</v>
      </c>
      <c r="S386" t="str">
        <v>0</v>
      </c>
      <c r="T386" t="str">
        <v>0</v>
      </c>
      <c r="U386" t="str">
        <v>0.0568897</v>
      </c>
    </row>
    <row r="387" spans="1:21" x14ac:dyDescent="0.35">
      <c r="A387" t="s">
        <v>400</v>
      </c>
      <c r="M387" t="str" cm="1">
        <f t="array" ref="M387:U387">_xlfn.TEXTSPLIT(A387, ",")</f>
        <v>28GHz</v>
      </c>
      <c r="N387" t="str">
        <v>37</v>
      </c>
      <c r="O387" t="str">
        <v>128</v>
      </c>
      <c r="P387" t="str">
        <v>1.5</v>
      </c>
      <c r="Q387" t="str">
        <v>10</v>
      </c>
      <c r="R387" t="str">
        <v>0.000502</v>
      </c>
      <c r="S387" t="str">
        <v>0</v>
      </c>
      <c r="T387" t="str">
        <v>0</v>
      </c>
      <c r="U387" t="str">
        <v>0.0568897</v>
      </c>
    </row>
    <row r="388" spans="1:21" x14ac:dyDescent="0.35">
      <c r="A388" t="s">
        <v>401</v>
      </c>
      <c r="M388" t="str" cm="1">
        <f t="array" ref="M388:U388">_xlfn.TEXTSPLIT(A388, ",")</f>
        <v>28GHz</v>
      </c>
      <c r="N388" t="str">
        <v>37</v>
      </c>
      <c r="O388" t="str">
        <v>128</v>
      </c>
      <c r="P388" t="str">
        <v>1.5</v>
      </c>
      <c r="Q388" t="str">
        <v>30</v>
      </c>
      <c r="R388" t="str">
        <v>0.000502</v>
      </c>
      <c r="S388" t="str">
        <v>0</v>
      </c>
      <c r="T388" t="str">
        <v>0</v>
      </c>
      <c r="U388" t="str">
        <v>0.0568897</v>
      </c>
    </row>
    <row r="389" spans="1:21" x14ac:dyDescent="0.35">
      <c r="A389" t="s">
        <v>402</v>
      </c>
      <c r="M389" t="str" cm="1">
        <f t="array" ref="M389:U389">_xlfn.TEXTSPLIT(A389, ",")</f>
        <v>28GHz</v>
      </c>
      <c r="N389" t="str">
        <v>37</v>
      </c>
      <c r="O389" t="str">
        <v>128</v>
      </c>
      <c r="P389" t="str">
        <v>1.5</v>
      </c>
      <c r="Q389" t="str">
        <v>60</v>
      </c>
      <c r="R389" t="str">
        <v>0.000502</v>
      </c>
      <c r="S389" t="str">
        <v>0</v>
      </c>
      <c r="T389" t="str">
        <v>0</v>
      </c>
      <c r="U389" t="str">
        <v>0.0568897</v>
      </c>
    </row>
    <row r="390" spans="1:21" x14ac:dyDescent="0.35">
      <c r="A390" t="s">
        <v>403</v>
      </c>
      <c r="M390" t="str" cm="1">
        <f t="array" ref="M390:U390">_xlfn.TEXTSPLIT(A390, ",")</f>
        <v>28GHz</v>
      </c>
      <c r="N390" t="str">
        <v>37</v>
      </c>
      <c r="O390" t="str">
        <v>128</v>
      </c>
      <c r="P390" t="str">
        <v>20</v>
      </c>
      <c r="Q390" t="str">
        <v>0</v>
      </c>
      <c r="R390" t="str">
        <v>0.000502</v>
      </c>
      <c r="S390" t="str">
        <v>0</v>
      </c>
      <c r="T390" t="str">
        <v>0</v>
      </c>
      <c r="U390" t="str">
        <v>0.0568897</v>
      </c>
    </row>
    <row r="391" spans="1:21" x14ac:dyDescent="0.35">
      <c r="A391" t="s">
        <v>404</v>
      </c>
      <c r="M391" t="str" cm="1">
        <f t="array" ref="M391:U391">_xlfn.TEXTSPLIT(A391, ",")</f>
        <v>28GHz</v>
      </c>
      <c r="N391" t="str">
        <v>37</v>
      </c>
      <c r="O391" t="str">
        <v>128</v>
      </c>
      <c r="P391" t="str">
        <v>20</v>
      </c>
      <c r="Q391" t="str">
        <v>10</v>
      </c>
      <c r="R391" t="str">
        <v>0.000502</v>
      </c>
      <c r="S391" t="str">
        <v>0</v>
      </c>
      <c r="T391" t="str">
        <v>0</v>
      </c>
      <c r="U391" t="str">
        <v>0.0568897</v>
      </c>
    </row>
    <row r="392" spans="1:21" x14ac:dyDescent="0.35">
      <c r="A392" t="s">
        <v>405</v>
      </c>
      <c r="M392" t="str" cm="1">
        <f t="array" ref="M392:U392">_xlfn.TEXTSPLIT(A392, ",")</f>
        <v>28GHz</v>
      </c>
      <c r="N392" t="str">
        <v>37</v>
      </c>
      <c r="O392" t="str">
        <v>128</v>
      </c>
      <c r="P392" t="str">
        <v>20</v>
      </c>
      <c r="Q392" t="str">
        <v>30</v>
      </c>
      <c r="R392" t="str">
        <v>0.000502</v>
      </c>
      <c r="S392" t="str">
        <v>0</v>
      </c>
      <c r="T392" t="str">
        <v>0</v>
      </c>
      <c r="U392" t="str">
        <v>0.0568897</v>
      </c>
    </row>
    <row r="393" spans="1:21" x14ac:dyDescent="0.35">
      <c r="A393" t="s">
        <v>406</v>
      </c>
      <c r="M393" t="str" cm="1">
        <f t="array" ref="M393:U393">_xlfn.TEXTSPLIT(A393, ",")</f>
        <v>28GHz</v>
      </c>
      <c r="N393" t="str">
        <v>37</v>
      </c>
      <c r="O393" t="str">
        <v>128</v>
      </c>
      <c r="P393" t="str">
        <v>20</v>
      </c>
      <c r="Q393" t="str">
        <v>60</v>
      </c>
      <c r="R393" t="str">
        <v>0.000502</v>
      </c>
      <c r="S393" t="str">
        <v>0</v>
      </c>
      <c r="T393" t="str">
        <v>0</v>
      </c>
      <c r="U393" t="str">
        <v>0.0568897</v>
      </c>
    </row>
    <row r="394" spans="1:21" x14ac:dyDescent="0.35">
      <c r="A394" t="s">
        <v>407</v>
      </c>
      <c r="M394" t="str" cm="1">
        <f t="array" ref="M394:U394">_xlfn.TEXTSPLIT(A394, ",")</f>
        <v>28GHz</v>
      </c>
      <c r="N394" t="str">
        <v>37</v>
      </c>
      <c r="O394" t="str">
        <v>128</v>
      </c>
      <c r="P394" t="str">
        <v>50</v>
      </c>
      <c r="Q394" t="str">
        <v>0</v>
      </c>
      <c r="R394" t="str">
        <v>0.000502</v>
      </c>
      <c r="S394" t="str">
        <v>0</v>
      </c>
      <c r="T394" t="str">
        <v>0</v>
      </c>
      <c r="U394" t="str">
        <v>0.0568897</v>
      </c>
    </row>
    <row r="395" spans="1:21" x14ac:dyDescent="0.35">
      <c r="A395" t="s">
        <v>408</v>
      </c>
      <c r="M395" t="str" cm="1">
        <f t="array" ref="M395:U395">_xlfn.TEXTSPLIT(A395, ",")</f>
        <v>28GHz</v>
      </c>
      <c r="N395" t="str">
        <v>37</v>
      </c>
      <c r="O395" t="str">
        <v>128</v>
      </c>
      <c r="P395" t="str">
        <v>50</v>
      </c>
      <c r="Q395" t="str">
        <v>10</v>
      </c>
      <c r="R395" t="str">
        <v>0.000502</v>
      </c>
      <c r="S395" t="str">
        <v>0</v>
      </c>
      <c r="T395" t="str">
        <v>0</v>
      </c>
      <c r="U395" t="str">
        <v>0.0568897</v>
      </c>
    </row>
    <row r="396" spans="1:21" x14ac:dyDescent="0.35">
      <c r="A396" t="s">
        <v>409</v>
      </c>
      <c r="M396" t="str" cm="1">
        <f t="array" ref="M396:U396">_xlfn.TEXTSPLIT(A396, ",")</f>
        <v>28GHz</v>
      </c>
      <c r="N396" t="str">
        <v>37</v>
      </c>
      <c r="O396" t="str">
        <v>128</v>
      </c>
      <c r="P396" t="str">
        <v>50</v>
      </c>
      <c r="Q396" t="str">
        <v>30</v>
      </c>
      <c r="R396" t="str">
        <v>0.000502</v>
      </c>
      <c r="S396" t="str">
        <v>0</v>
      </c>
      <c r="T396" t="str">
        <v>0</v>
      </c>
      <c r="U396" t="str">
        <v>0.0568897</v>
      </c>
    </row>
    <row r="397" spans="1:21" x14ac:dyDescent="0.35">
      <c r="A397" t="s">
        <v>410</v>
      </c>
      <c r="M397" t="str" cm="1">
        <f t="array" ref="M397:U397">_xlfn.TEXTSPLIT(A397, ",")</f>
        <v>28GHz</v>
      </c>
      <c r="N397" t="str">
        <v>37</v>
      </c>
      <c r="O397" t="str">
        <v>128</v>
      </c>
      <c r="P397" t="str">
        <v>50</v>
      </c>
      <c r="Q397" t="str">
        <v>60</v>
      </c>
      <c r="R397" t="str">
        <v>0.000502</v>
      </c>
      <c r="S397" t="str">
        <v>0</v>
      </c>
      <c r="T397" t="str">
        <v>0</v>
      </c>
      <c r="U397" t="str">
        <v>0.0568897</v>
      </c>
    </row>
    <row r="398" spans="1:21" x14ac:dyDescent="0.35">
      <c r="A398" t="s">
        <v>411</v>
      </c>
      <c r="M398" t="str" cm="1">
        <f t="array" ref="M398:U398">_xlfn.TEXTSPLIT(A398, ",")</f>
        <v>28GHz</v>
      </c>
      <c r="N398" t="str">
        <v>37</v>
      </c>
      <c r="O398" t="str">
        <v>128</v>
      </c>
      <c r="P398" t="str">
        <v>100</v>
      </c>
      <c r="Q398" t="str">
        <v>0</v>
      </c>
      <c r="R398" t="str">
        <v>0.000502</v>
      </c>
      <c r="S398" t="str">
        <v>0</v>
      </c>
      <c r="T398" t="str">
        <v>0</v>
      </c>
      <c r="U398" t="str">
        <v>0.0568897</v>
      </c>
    </row>
    <row r="399" spans="1:21" x14ac:dyDescent="0.35">
      <c r="A399" t="s">
        <v>412</v>
      </c>
      <c r="M399" t="str" cm="1">
        <f t="array" ref="M399:U399">_xlfn.TEXTSPLIT(A399, ",")</f>
        <v>28GHz</v>
      </c>
      <c r="N399" t="str">
        <v>37</v>
      </c>
      <c r="O399" t="str">
        <v>128</v>
      </c>
      <c r="P399" t="str">
        <v>100</v>
      </c>
      <c r="Q399" t="str">
        <v>10</v>
      </c>
      <c r="R399" t="str">
        <v>0.000502</v>
      </c>
      <c r="S399" t="str">
        <v>0</v>
      </c>
      <c r="T399" t="str">
        <v>0</v>
      </c>
      <c r="U399" t="str">
        <v>0.0568897</v>
      </c>
    </row>
    <row r="400" spans="1:21" x14ac:dyDescent="0.35">
      <c r="A400" t="s">
        <v>413</v>
      </c>
      <c r="M400" t="str" cm="1">
        <f t="array" ref="M400:U400">_xlfn.TEXTSPLIT(A400, ",")</f>
        <v>28GHz</v>
      </c>
      <c r="N400" t="str">
        <v>37</v>
      </c>
      <c r="O400" t="str">
        <v>128</v>
      </c>
      <c r="P400" t="str">
        <v>100</v>
      </c>
      <c r="Q400" t="str">
        <v>30</v>
      </c>
      <c r="R400" t="str">
        <v>0.000502</v>
      </c>
      <c r="S400" t="str">
        <v>0</v>
      </c>
      <c r="T400" t="str">
        <v>0</v>
      </c>
      <c r="U400" t="str">
        <v>0.0568897</v>
      </c>
    </row>
    <row r="401" spans="1:21" x14ac:dyDescent="0.35">
      <c r="A401" t="s">
        <v>414</v>
      </c>
      <c r="M401" t="str" cm="1">
        <f t="array" ref="M401:U401">_xlfn.TEXTSPLIT(A401, ",")</f>
        <v>28GHz</v>
      </c>
      <c r="N401" t="str">
        <v>37</v>
      </c>
      <c r="O401" t="str">
        <v>128</v>
      </c>
      <c r="P401" t="str">
        <v>100</v>
      </c>
      <c r="Q401" t="str">
        <v>60</v>
      </c>
      <c r="R401" t="str">
        <v>0.000502</v>
      </c>
      <c r="S401" t="str">
        <v>0</v>
      </c>
      <c r="T401" t="str">
        <v>0</v>
      </c>
      <c r="U401" t="str">
        <v>0.0568897</v>
      </c>
    </row>
    <row r="402" spans="1:21" x14ac:dyDescent="0.35">
      <c r="A402" t="s">
        <v>415</v>
      </c>
      <c r="M402" t="str" cm="1">
        <f t="array" ref="M402:U402">_xlfn.TEXTSPLIT(A402, ",")</f>
        <v>28GHz</v>
      </c>
      <c r="N402" t="str">
        <v>37</v>
      </c>
      <c r="O402" t="str">
        <v>512</v>
      </c>
      <c r="P402" t="str">
        <v>1.5</v>
      </c>
      <c r="Q402" t="str">
        <v>0</v>
      </c>
      <c r="R402" t="str">
        <v>0.000502</v>
      </c>
      <c r="S402" t="str">
        <v>0</v>
      </c>
      <c r="T402" t="str">
        <v>0</v>
      </c>
      <c r="U402" t="str">
        <v>0.1957</v>
      </c>
    </row>
    <row r="403" spans="1:21" x14ac:dyDescent="0.35">
      <c r="A403" t="s">
        <v>416</v>
      </c>
      <c r="M403" t="str" cm="1">
        <f t="array" ref="M403:U403">_xlfn.TEXTSPLIT(A403, ",")</f>
        <v>28GHz</v>
      </c>
      <c r="N403" t="str">
        <v>37</v>
      </c>
      <c r="O403" t="str">
        <v>512</v>
      </c>
      <c r="P403" t="str">
        <v>1.5</v>
      </c>
      <c r="Q403" t="str">
        <v>10</v>
      </c>
      <c r="R403" t="str">
        <v>0.000502</v>
      </c>
      <c r="S403" t="str">
        <v>0</v>
      </c>
      <c r="T403" t="str">
        <v>0</v>
      </c>
      <c r="U403" t="str">
        <v>0.1957</v>
      </c>
    </row>
    <row r="404" spans="1:21" x14ac:dyDescent="0.35">
      <c r="A404" t="s">
        <v>417</v>
      </c>
      <c r="M404" t="str" cm="1">
        <f t="array" ref="M404:U404">_xlfn.TEXTSPLIT(A404, ",")</f>
        <v>28GHz</v>
      </c>
      <c r="N404" t="str">
        <v>37</v>
      </c>
      <c r="O404" t="str">
        <v>512</v>
      </c>
      <c r="P404" t="str">
        <v>1.5</v>
      </c>
      <c r="Q404" t="str">
        <v>30</v>
      </c>
      <c r="R404" t="str">
        <v>0.000502</v>
      </c>
      <c r="S404" t="str">
        <v>0</v>
      </c>
      <c r="T404" t="str">
        <v>0</v>
      </c>
      <c r="U404" t="str">
        <v>0.1957</v>
      </c>
    </row>
    <row r="405" spans="1:21" x14ac:dyDescent="0.35">
      <c r="A405" t="s">
        <v>418</v>
      </c>
      <c r="M405" t="str" cm="1">
        <f t="array" ref="M405:U405">_xlfn.TEXTSPLIT(A405, ",")</f>
        <v>28GHz</v>
      </c>
      <c r="N405" t="str">
        <v>37</v>
      </c>
      <c r="O405" t="str">
        <v>512</v>
      </c>
      <c r="P405" t="str">
        <v>1.5</v>
      </c>
      <c r="Q405" t="str">
        <v>60</v>
      </c>
      <c r="R405" t="str">
        <v>0.000502</v>
      </c>
      <c r="S405" t="str">
        <v>0</v>
      </c>
      <c r="T405" t="str">
        <v>0</v>
      </c>
      <c r="U405" t="str">
        <v>0.1957</v>
      </c>
    </row>
    <row r="406" spans="1:21" x14ac:dyDescent="0.35">
      <c r="A406" t="s">
        <v>419</v>
      </c>
      <c r="M406" t="str" cm="1">
        <f t="array" ref="M406:U406">_xlfn.TEXTSPLIT(A406, ",")</f>
        <v>28GHz</v>
      </c>
      <c r="N406" t="str">
        <v>37</v>
      </c>
      <c r="O406" t="str">
        <v>512</v>
      </c>
      <c r="P406" t="str">
        <v>20</v>
      </c>
      <c r="Q406" t="str">
        <v>0</v>
      </c>
      <c r="R406" t="str">
        <v>0.000502</v>
      </c>
      <c r="S406" t="str">
        <v>0</v>
      </c>
      <c r="T406" t="str">
        <v>0</v>
      </c>
      <c r="U406" t="str">
        <v>0.1957</v>
      </c>
    </row>
    <row r="407" spans="1:21" x14ac:dyDescent="0.35">
      <c r="A407" t="s">
        <v>420</v>
      </c>
      <c r="M407" t="str" cm="1">
        <f t="array" ref="M407:U407">_xlfn.TEXTSPLIT(A407, ",")</f>
        <v>28GHz</v>
      </c>
      <c r="N407" t="str">
        <v>37</v>
      </c>
      <c r="O407" t="str">
        <v>512</v>
      </c>
      <c r="P407" t="str">
        <v>20</v>
      </c>
      <c r="Q407" t="str">
        <v>10</v>
      </c>
      <c r="R407" t="str">
        <v>0.000502</v>
      </c>
      <c r="S407" t="str">
        <v>0</v>
      </c>
      <c r="T407" t="str">
        <v>0</v>
      </c>
      <c r="U407" t="str">
        <v>0.1957</v>
      </c>
    </row>
    <row r="408" spans="1:21" x14ac:dyDescent="0.35">
      <c r="A408" t="s">
        <v>421</v>
      </c>
      <c r="M408" t="str" cm="1">
        <f t="array" ref="M408:U408">_xlfn.TEXTSPLIT(A408, ",")</f>
        <v>28GHz</v>
      </c>
      <c r="N408" t="str">
        <v>37</v>
      </c>
      <c r="O408" t="str">
        <v>512</v>
      </c>
      <c r="P408" t="str">
        <v>20</v>
      </c>
      <c r="Q408" t="str">
        <v>30</v>
      </c>
      <c r="R408" t="str">
        <v>0.000502</v>
      </c>
      <c r="S408" t="str">
        <v>0</v>
      </c>
      <c r="T408" t="str">
        <v>0</v>
      </c>
      <c r="U408" t="str">
        <v>0.1957</v>
      </c>
    </row>
    <row r="409" spans="1:21" x14ac:dyDescent="0.35">
      <c r="A409" t="s">
        <v>422</v>
      </c>
      <c r="M409" t="str" cm="1">
        <f t="array" ref="M409:U409">_xlfn.TEXTSPLIT(A409, ",")</f>
        <v>28GHz</v>
      </c>
      <c r="N409" t="str">
        <v>37</v>
      </c>
      <c r="O409" t="str">
        <v>512</v>
      </c>
      <c r="P409" t="str">
        <v>20</v>
      </c>
      <c r="Q409" t="str">
        <v>60</v>
      </c>
      <c r="R409" t="str">
        <v>0.000502</v>
      </c>
      <c r="S409" t="str">
        <v>0</v>
      </c>
      <c r="T409" t="str">
        <v>0</v>
      </c>
      <c r="U409" t="str">
        <v>0.1957</v>
      </c>
    </row>
    <row r="410" spans="1:21" x14ac:dyDescent="0.35">
      <c r="A410" t="s">
        <v>423</v>
      </c>
      <c r="M410" t="str" cm="1">
        <f t="array" ref="M410:U410">_xlfn.TEXTSPLIT(A410, ",")</f>
        <v>28GHz</v>
      </c>
      <c r="N410" t="str">
        <v>37</v>
      </c>
      <c r="O410" t="str">
        <v>512</v>
      </c>
      <c r="P410" t="str">
        <v>50</v>
      </c>
      <c r="Q410" t="str">
        <v>0</v>
      </c>
      <c r="R410" t="str">
        <v>0.000502</v>
      </c>
      <c r="S410" t="str">
        <v>0</v>
      </c>
      <c r="T410" t="str">
        <v>0</v>
      </c>
      <c r="U410" t="str">
        <v>0.1957</v>
      </c>
    </row>
    <row r="411" spans="1:21" x14ac:dyDescent="0.35">
      <c r="A411" t="s">
        <v>424</v>
      </c>
      <c r="M411" t="str" cm="1">
        <f t="array" ref="M411:U411">_xlfn.TEXTSPLIT(A411, ",")</f>
        <v>28GHz</v>
      </c>
      <c r="N411" t="str">
        <v>37</v>
      </c>
      <c r="O411" t="str">
        <v>512</v>
      </c>
      <c r="P411" t="str">
        <v>50</v>
      </c>
      <c r="Q411" t="str">
        <v>10</v>
      </c>
      <c r="R411" t="str">
        <v>0.000502</v>
      </c>
      <c r="S411" t="str">
        <v>0</v>
      </c>
      <c r="T411" t="str">
        <v>0</v>
      </c>
      <c r="U411" t="str">
        <v>0.1957</v>
      </c>
    </row>
    <row r="412" spans="1:21" x14ac:dyDescent="0.35">
      <c r="A412" t="s">
        <v>425</v>
      </c>
      <c r="M412" t="str" cm="1">
        <f t="array" ref="M412:U412">_xlfn.TEXTSPLIT(A412, ",")</f>
        <v>28GHz</v>
      </c>
      <c r="N412" t="str">
        <v>37</v>
      </c>
      <c r="O412" t="str">
        <v>512</v>
      </c>
      <c r="P412" t="str">
        <v>50</v>
      </c>
      <c r="Q412" t="str">
        <v>30</v>
      </c>
      <c r="R412" t="str">
        <v>0.000502</v>
      </c>
      <c r="S412" t="str">
        <v>0</v>
      </c>
      <c r="T412" t="str">
        <v>0</v>
      </c>
      <c r="U412" t="str">
        <v>0.1957</v>
      </c>
    </row>
    <row r="413" spans="1:21" x14ac:dyDescent="0.35">
      <c r="A413" t="s">
        <v>426</v>
      </c>
      <c r="M413" t="str" cm="1">
        <f t="array" ref="M413:U413">_xlfn.TEXTSPLIT(A413, ",")</f>
        <v>28GHz</v>
      </c>
      <c r="N413" t="str">
        <v>37</v>
      </c>
      <c r="O413" t="str">
        <v>512</v>
      </c>
      <c r="P413" t="str">
        <v>50</v>
      </c>
      <c r="Q413" t="str">
        <v>60</v>
      </c>
      <c r="R413" t="str">
        <v>0.000502</v>
      </c>
      <c r="S413" t="str">
        <v>0</v>
      </c>
      <c r="T413" t="str">
        <v>0</v>
      </c>
      <c r="U413" t="str">
        <v>0.1957</v>
      </c>
    </row>
    <row r="414" spans="1:21" x14ac:dyDescent="0.35">
      <c r="A414" t="s">
        <v>427</v>
      </c>
      <c r="M414" t="str" cm="1">
        <f t="array" ref="M414:U414">_xlfn.TEXTSPLIT(A414, ",")</f>
        <v>28GHz</v>
      </c>
      <c r="N414" t="str">
        <v>37</v>
      </c>
      <c r="O414" t="str">
        <v>512</v>
      </c>
      <c r="P414" t="str">
        <v>100</v>
      </c>
      <c r="Q414" t="str">
        <v>0</v>
      </c>
      <c r="R414" t="str">
        <v>0.000502</v>
      </c>
      <c r="S414" t="str">
        <v>0</v>
      </c>
      <c r="T414" t="str">
        <v>0</v>
      </c>
      <c r="U414" t="str">
        <v>0.1957</v>
      </c>
    </row>
    <row r="415" spans="1:21" x14ac:dyDescent="0.35">
      <c r="A415" t="s">
        <v>428</v>
      </c>
      <c r="M415" t="str" cm="1">
        <f t="array" ref="M415:U415">_xlfn.TEXTSPLIT(A415, ",")</f>
        <v>28GHz</v>
      </c>
      <c r="N415" t="str">
        <v>37</v>
      </c>
      <c r="O415" t="str">
        <v>512</v>
      </c>
      <c r="P415" t="str">
        <v>100</v>
      </c>
      <c r="Q415" t="str">
        <v>10</v>
      </c>
      <c r="R415" t="str">
        <v>0.000502</v>
      </c>
      <c r="S415" t="str">
        <v>0</v>
      </c>
      <c r="T415" t="str">
        <v>0</v>
      </c>
      <c r="U415" t="str">
        <v>0.1957</v>
      </c>
    </row>
    <row r="416" spans="1:21" x14ac:dyDescent="0.35">
      <c r="A416" t="s">
        <v>429</v>
      </c>
      <c r="M416" t="str" cm="1">
        <f t="array" ref="M416:U416">_xlfn.TEXTSPLIT(A416, ",")</f>
        <v>28GHz</v>
      </c>
      <c r="N416" t="str">
        <v>37</v>
      </c>
      <c r="O416" t="str">
        <v>512</v>
      </c>
      <c r="P416" t="str">
        <v>100</v>
      </c>
      <c r="Q416" t="str">
        <v>30</v>
      </c>
      <c r="R416" t="str">
        <v>0.000502</v>
      </c>
      <c r="S416" t="str">
        <v>0</v>
      </c>
      <c r="T416" t="str">
        <v>0</v>
      </c>
      <c r="U416" t="str">
        <v>0.1957</v>
      </c>
    </row>
    <row r="417" spans="1:21" x14ac:dyDescent="0.35">
      <c r="A417" t="s">
        <v>430</v>
      </c>
      <c r="M417" t="str" cm="1">
        <f t="array" ref="M417:U417">_xlfn.TEXTSPLIT(A417, ",")</f>
        <v>28GHz</v>
      </c>
      <c r="N417" t="str">
        <v>37</v>
      </c>
      <c r="O417" t="str">
        <v>512</v>
      </c>
      <c r="P417" t="str">
        <v>100</v>
      </c>
      <c r="Q417" t="str">
        <v>60</v>
      </c>
      <c r="R417" t="str">
        <v>0.000502</v>
      </c>
      <c r="S417" t="str">
        <v>0</v>
      </c>
      <c r="T417" t="str">
        <v>0</v>
      </c>
      <c r="U417" t="str">
        <v>0.1957</v>
      </c>
    </row>
    <row r="418" spans="1:21" x14ac:dyDescent="0.35">
      <c r="A418" t="s">
        <v>431</v>
      </c>
      <c r="M418" t="str" cm="1">
        <f t="array" ref="M418:U418">_xlfn.TEXTSPLIT(A418, ",")</f>
        <v>28GHz</v>
      </c>
      <c r="N418" t="str">
        <v>37</v>
      </c>
      <c r="O418" t="str">
        <v>1200</v>
      </c>
      <c r="P418" t="str">
        <v>1.5</v>
      </c>
      <c r="Q418" t="str">
        <v>0</v>
      </c>
      <c r="R418" t="str">
        <v>0.000502</v>
      </c>
      <c r="S418" t="str">
        <v>0</v>
      </c>
      <c r="T418" t="str">
        <v>0</v>
      </c>
      <c r="U418" t="str">
        <v>0.444401</v>
      </c>
    </row>
    <row r="419" spans="1:21" x14ac:dyDescent="0.35">
      <c r="A419" t="s">
        <v>432</v>
      </c>
      <c r="M419" t="str" cm="1">
        <f t="array" ref="M419:U419">_xlfn.TEXTSPLIT(A419, ",")</f>
        <v>28GHz</v>
      </c>
      <c r="N419" t="str">
        <v>37</v>
      </c>
      <c r="O419" t="str">
        <v>1200</v>
      </c>
      <c r="P419" t="str">
        <v>1.5</v>
      </c>
      <c r="Q419" t="str">
        <v>10</v>
      </c>
      <c r="R419" t="str">
        <v>0.000502</v>
      </c>
      <c r="S419" t="str">
        <v>0</v>
      </c>
      <c r="T419" t="str">
        <v>0</v>
      </c>
      <c r="U419" t="str">
        <v>0.444401</v>
      </c>
    </row>
    <row r="420" spans="1:21" x14ac:dyDescent="0.35">
      <c r="A420" t="s">
        <v>433</v>
      </c>
      <c r="M420" t="str" cm="1">
        <f t="array" ref="M420:U420">_xlfn.TEXTSPLIT(A420, ",")</f>
        <v>28GHz</v>
      </c>
      <c r="N420" t="str">
        <v>37</v>
      </c>
      <c r="O420" t="str">
        <v>1200</v>
      </c>
      <c r="P420" t="str">
        <v>1.5</v>
      </c>
      <c r="Q420" t="str">
        <v>30</v>
      </c>
      <c r="R420" t="str">
        <v>0.000502</v>
      </c>
      <c r="S420" t="str">
        <v>0</v>
      </c>
      <c r="T420" t="str">
        <v>0</v>
      </c>
      <c r="U420" t="str">
        <v>0.444401</v>
      </c>
    </row>
    <row r="421" spans="1:21" x14ac:dyDescent="0.35">
      <c r="A421" t="s">
        <v>434</v>
      </c>
      <c r="M421" t="str" cm="1">
        <f t="array" ref="M421:U421">_xlfn.TEXTSPLIT(A421, ",")</f>
        <v>28GHz</v>
      </c>
      <c r="N421" t="str">
        <v>37</v>
      </c>
      <c r="O421" t="str">
        <v>1200</v>
      </c>
      <c r="P421" t="str">
        <v>1.5</v>
      </c>
      <c r="Q421" t="str">
        <v>60</v>
      </c>
      <c r="R421" t="str">
        <v>0.000502</v>
      </c>
      <c r="S421" t="str">
        <v>0</v>
      </c>
      <c r="T421" t="str">
        <v>0</v>
      </c>
      <c r="U421" t="str">
        <v>0.444401</v>
      </c>
    </row>
    <row r="422" spans="1:21" x14ac:dyDescent="0.35">
      <c r="A422" t="s">
        <v>435</v>
      </c>
      <c r="M422" t="str" cm="1">
        <f t="array" ref="M422:U422">_xlfn.TEXTSPLIT(A422, ",")</f>
        <v>28GHz</v>
      </c>
      <c r="N422" t="str">
        <v>37</v>
      </c>
      <c r="O422" t="str">
        <v>1200</v>
      </c>
      <c r="P422" t="str">
        <v>20</v>
      </c>
      <c r="Q422" t="str">
        <v>0</v>
      </c>
      <c r="R422" t="str">
        <v>0.000502</v>
      </c>
      <c r="S422" t="str">
        <v>0</v>
      </c>
      <c r="T422" t="str">
        <v>0</v>
      </c>
      <c r="U422" t="str">
        <v>0.444401</v>
      </c>
    </row>
    <row r="423" spans="1:21" x14ac:dyDescent="0.35">
      <c r="A423" t="s">
        <v>436</v>
      </c>
      <c r="M423" t="str" cm="1">
        <f t="array" ref="M423:U423">_xlfn.TEXTSPLIT(A423, ",")</f>
        <v>28GHz</v>
      </c>
      <c r="N423" t="str">
        <v>37</v>
      </c>
      <c r="O423" t="str">
        <v>1200</v>
      </c>
      <c r="P423" t="str">
        <v>20</v>
      </c>
      <c r="Q423" t="str">
        <v>10</v>
      </c>
      <c r="R423" t="str">
        <v>0.000502</v>
      </c>
      <c r="S423" t="str">
        <v>0</v>
      </c>
      <c r="T423" t="str">
        <v>0</v>
      </c>
      <c r="U423" t="str">
        <v>0.444401</v>
      </c>
    </row>
    <row r="424" spans="1:21" x14ac:dyDescent="0.35">
      <c r="A424" t="s">
        <v>437</v>
      </c>
      <c r="M424" t="str" cm="1">
        <f t="array" ref="M424:U424">_xlfn.TEXTSPLIT(A424, ",")</f>
        <v>28GHz</v>
      </c>
      <c r="N424" t="str">
        <v>37</v>
      </c>
      <c r="O424" t="str">
        <v>1200</v>
      </c>
      <c r="P424" t="str">
        <v>20</v>
      </c>
      <c r="Q424" t="str">
        <v>30</v>
      </c>
      <c r="R424" t="str">
        <v>0.000502</v>
      </c>
      <c r="S424" t="str">
        <v>0</v>
      </c>
      <c r="T424" t="str">
        <v>0</v>
      </c>
      <c r="U424" t="str">
        <v>0.444401</v>
      </c>
    </row>
    <row r="425" spans="1:21" x14ac:dyDescent="0.35">
      <c r="A425" t="s">
        <v>438</v>
      </c>
      <c r="M425" t="str" cm="1">
        <f t="array" ref="M425:U425">_xlfn.TEXTSPLIT(A425, ",")</f>
        <v>28GHz</v>
      </c>
      <c r="N425" t="str">
        <v>37</v>
      </c>
      <c r="O425" t="str">
        <v>1200</v>
      </c>
      <c r="P425" t="str">
        <v>20</v>
      </c>
      <c r="Q425" t="str">
        <v>60</v>
      </c>
      <c r="R425" t="str">
        <v>0.000502</v>
      </c>
      <c r="S425" t="str">
        <v>0</v>
      </c>
      <c r="T425" t="str">
        <v>0</v>
      </c>
      <c r="U425" t="str">
        <v>0.444401</v>
      </c>
    </row>
    <row r="426" spans="1:21" x14ac:dyDescent="0.35">
      <c r="A426" t="s">
        <v>439</v>
      </c>
      <c r="M426" t="str" cm="1">
        <f t="array" ref="M426:U426">_xlfn.TEXTSPLIT(A426, ",")</f>
        <v>28GHz</v>
      </c>
      <c r="N426" t="str">
        <v>37</v>
      </c>
      <c r="O426" t="str">
        <v>1200</v>
      </c>
      <c r="P426" t="str">
        <v>50</v>
      </c>
      <c r="Q426" t="str">
        <v>0</v>
      </c>
      <c r="R426" t="str">
        <v>0.000502</v>
      </c>
      <c r="S426" t="str">
        <v>0</v>
      </c>
      <c r="T426" t="str">
        <v>0</v>
      </c>
      <c r="U426" t="str">
        <v>0.444401</v>
      </c>
    </row>
    <row r="427" spans="1:21" x14ac:dyDescent="0.35">
      <c r="A427" t="s">
        <v>440</v>
      </c>
      <c r="M427" t="str" cm="1">
        <f t="array" ref="M427:U427">_xlfn.TEXTSPLIT(A427, ",")</f>
        <v>28GHz</v>
      </c>
      <c r="N427" t="str">
        <v>37</v>
      </c>
      <c r="O427" t="str">
        <v>1200</v>
      </c>
      <c r="P427" t="str">
        <v>50</v>
      </c>
      <c r="Q427" t="str">
        <v>10</v>
      </c>
      <c r="R427" t="str">
        <v>0.000502</v>
      </c>
      <c r="S427" t="str">
        <v>0</v>
      </c>
      <c r="T427" t="str">
        <v>0</v>
      </c>
      <c r="U427" t="str">
        <v>0.444401</v>
      </c>
    </row>
    <row r="428" spans="1:21" x14ac:dyDescent="0.35">
      <c r="A428" t="s">
        <v>441</v>
      </c>
      <c r="M428" t="str" cm="1">
        <f t="array" ref="M428:U428">_xlfn.TEXTSPLIT(A428, ",")</f>
        <v>28GHz</v>
      </c>
      <c r="N428" t="str">
        <v>37</v>
      </c>
      <c r="O428" t="str">
        <v>1200</v>
      </c>
      <c r="P428" t="str">
        <v>50</v>
      </c>
      <c r="Q428" t="str">
        <v>30</v>
      </c>
      <c r="R428" t="str">
        <v>0.000502</v>
      </c>
      <c r="S428" t="str">
        <v>0</v>
      </c>
      <c r="T428" t="str">
        <v>0</v>
      </c>
      <c r="U428" t="str">
        <v>0.444401</v>
      </c>
    </row>
    <row r="429" spans="1:21" x14ac:dyDescent="0.35">
      <c r="A429" t="s">
        <v>442</v>
      </c>
      <c r="M429" t="str" cm="1">
        <f t="array" ref="M429:U429">_xlfn.TEXTSPLIT(A429, ",")</f>
        <v>28GHz</v>
      </c>
      <c r="N429" t="str">
        <v>37</v>
      </c>
      <c r="O429" t="str">
        <v>1200</v>
      </c>
      <c r="P429" t="str">
        <v>50</v>
      </c>
      <c r="Q429" t="str">
        <v>60</v>
      </c>
      <c r="R429" t="str">
        <v>0.000502</v>
      </c>
      <c r="S429" t="str">
        <v>0</v>
      </c>
      <c r="T429" t="str">
        <v>0</v>
      </c>
      <c r="U429" t="str">
        <v>0.444401</v>
      </c>
    </row>
    <row r="430" spans="1:21" x14ac:dyDescent="0.35">
      <c r="A430" t="s">
        <v>443</v>
      </c>
      <c r="M430" t="str" cm="1">
        <f t="array" ref="M430:U430">_xlfn.TEXTSPLIT(A430, ",")</f>
        <v>28GHz</v>
      </c>
      <c r="N430" t="str">
        <v>37</v>
      </c>
      <c r="O430" t="str">
        <v>1200</v>
      </c>
      <c r="P430" t="str">
        <v>100</v>
      </c>
      <c r="Q430" t="str">
        <v>0</v>
      </c>
      <c r="R430" t="str">
        <v>0.000502</v>
      </c>
      <c r="S430" t="str">
        <v>0</v>
      </c>
      <c r="T430" t="str">
        <v>0</v>
      </c>
      <c r="U430" t="str">
        <v>0.444401</v>
      </c>
    </row>
    <row r="431" spans="1:21" x14ac:dyDescent="0.35">
      <c r="A431" t="s">
        <v>444</v>
      </c>
      <c r="M431" t="str" cm="1">
        <f t="array" ref="M431:U431">_xlfn.TEXTSPLIT(A431, ",")</f>
        <v>28GHz</v>
      </c>
      <c r="N431" t="str">
        <v>37</v>
      </c>
      <c r="O431" t="str">
        <v>1200</v>
      </c>
      <c r="P431" t="str">
        <v>100</v>
      </c>
      <c r="Q431" t="str">
        <v>10</v>
      </c>
      <c r="R431" t="str">
        <v>0.000502</v>
      </c>
      <c r="S431" t="str">
        <v>0</v>
      </c>
      <c r="T431" t="str">
        <v>0</v>
      </c>
      <c r="U431" t="str">
        <v>0.444401</v>
      </c>
    </row>
    <row r="432" spans="1:21" x14ac:dyDescent="0.35">
      <c r="A432" t="s">
        <v>445</v>
      </c>
      <c r="M432" t="str" cm="1">
        <f t="array" ref="M432:U432">_xlfn.TEXTSPLIT(A432, ",")</f>
        <v>28GHz</v>
      </c>
      <c r="N432" t="str">
        <v>37</v>
      </c>
      <c r="O432" t="str">
        <v>1200</v>
      </c>
      <c r="P432" t="str">
        <v>100</v>
      </c>
      <c r="Q432" t="str">
        <v>30</v>
      </c>
      <c r="R432" t="str">
        <v>0.000502</v>
      </c>
      <c r="S432" t="str">
        <v>0</v>
      </c>
      <c r="T432" t="str">
        <v>0</v>
      </c>
      <c r="U432" t="str">
        <v>0.444401</v>
      </c>
    </row>
    <row r="433" spans="1:21" x14ac:dyDescent="0.35">
      <c r="A433" t="s">
        <v>446</v>
      </c>
      <c r="M433" t="str" cm="1">
        <f t="array" ref="M433:U433">_xlfn.TEXTSPLIT(A433, ",")</f>
        <v>28GHz</v>
      </c>
      <c r="N433" t="str">
        <v>37</v>
      </c>
      <c r="O433" t="str">
        <v>1200</v>
      </c>
      <c r="P433" t="str">
        <v>100</v>
      </c>
      <c r="Q433" t="str">
        <v>60</v>
      </c>
      <c r="R433" t="str">
        <v>0.000502</v>
      </c>
      <c r="S433" t="str">
        <v>0</v>
      </c>
      <c r="T433" t="str">
        <v>0</v>
      </c>
      <c r="U433" t="str">
        <v>0.444401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5BEC7-974A-4BEE-9F27-A921EEE52E27}">
  <dimension ref="A1:AA126"/>
  <sheetViews>
    <sheetView workbookViewId="0">
      <selection activeCell="A7" sqref="A7"/>
    </sheetView>
  </sheetViews>
  <sheetFormatPr defaultRowHeight="14.5" x14ac:dyDescent="0.35"/>
  <sheetData>
    <row r="1" spans="1:1" x14ac:dyDescent="0.35">
      <c r="A1" t="s">
        <v>507</v>
      </c>
    </row>
    <row r="2" spans="1:1" x14ac:dyDescent="0.35">
      <c r="A2" t="s">
        <v>508</v>
      </c>
    </row>
    <row r="3" spans="1:1" x14ac:dyDescent="0.35">
      <c r="A3" t="s">
        <v>509</v>
      </c>
    </row>
    <row r="6" spans="1:1" x14ac:dyDescent="0.35">
      <c r="A6" t="s">
        <v>814</v>
      </c>
    </row>
    <row r="7" spans="1:1" x14ac:dyDescent="0.35">
      <c r="A7" t="s">
        <v>815</v>
      </c>
    </row>
    <row r="9" spans="1:1" x14ac:dyDescent="0.35">
      <c r="A9" t="s">
        <v>816</v>
      </c>
    </row>
    <row r="10" spans="1:1" x14ac:dyDescent="0.35">
      <c r="A10" t="s">
        <v>817</v>
      </c>
    </row>
    <row r="11" spans="1:1" x14ac:dyDescent="0.35">
      <c r="A11" t="s">
        <v>818</v>
      </c>
    </row>
    <row r="12" spans="1:1" x14ac:dyDescent="0.35">
      <c r="A12" t="s">
        <v>819</v>
      </c>
    </row>
    <row r="13" spans="1:1" x14ac:dyDescent="0.35">
      <c r="A13" t="s">
        <v>820</v>
      </c>
    </row>
    <row r="14" spans="1:1" x14ac:dyDescent="0.35">
      <c r="A14" t="s">
        <v>821</v>
      </c>
    </row>
    <row r="16" spans="1:1" x14ac:dyDescent="0.35">
      <c r="A16" t="s">
        <v>822</v>
      </c>
    </row>
    <row r="17" spans="1:1" x14ac:dyDescent="0.35">
      <c r="A17" t="s">
        <v>817</v>
      </c>
    </row>
    <row r="18" spans="1:1" x14ac:dyDescent="0.35">
      <c r="A18" t="s">
        <v>818</v>
      </c>
    </row>
    <row r="19" spans="1:1" x14ac:dyDescent="0.35">
      <c r="A19" t="s">
        <v>823</v>
      </c>
    </row>
    <row r="20" spans="1:1" x14ac:dyDescent="0.35">
      <c r="A20" t="s">
        <v>824</v>
      </c>
    </row>
    <row r="21" spans="1:1" x14ac:dyDescent="0.35">
      <c r="A21" t="s">
        <v>825</v>
      </c>
    </row>
    <row r="89" spans="1:27" x14ac:dyDescent="0.35">
      <c r="A89" t="s">
        <v>843</v>
      </c>
      <c r="R89" t="str" cm="1">
        <f t="array" ref="R89:AA89">_xlfn.TEXTSPLIT(A89, ",")</f>
        <v>Speed(m/s)</v>
      </c>
      <c r="S89" t="str">
        <v>Altitude(m)</v>
      </c>
      <c r="T89" t="str">
        <v>gNB_TxPower(dBm)</v>
      </c>
      <c r="U89" t="str">
        <v>UE_TxPower(dBm)</v>
      </c>
      <c r="V89" t="str">
        <v>URLLC_Loss(%)</v>
      </c>
      <c r="W89" t="str">
        <v>URLLC_Delay(ms)</v>
      </c>
      <c r="X89" t="str">
        <v>URLLC_Throughput(Mbps)</v>
      </c>
      <c r="Y89" t="str">
        <v>eMBB_Loss(%)</v>
      </c>
      <c r="Z89" t="str">
        <v>eMBB_Delay(ms)</v>
      </c>
      <c r="AA89" t="str">
        <v>eMBB_Throughput(Mbps)</v>
      </c>
    </row>
    <row r="90" spans="1:27" x14ac:dyDescent="0.35">
      <c r="A90" t="s">
        <v>844</v>
      </c>
      <c r="R90" t="str" cm="1">
        <f t="array" ref="R90:AA90">_xlfn.TEXTSPLIT(A90, ",")</f>
        <v>15</v>
      </c>
      <c r="S90" t="str">
        <v>120</v>
      </c>
      <c r="T90" t="str">
        <v>30</v>
      </c>
      <c r="U90" t="str">
        <v>20</v>
      </c>
      <c r="V90" t="str">
        <v>40</v>
      </c>
      <c r="W90" t="str">
        <v>176.084</v>
      </c>
      <c r="X90" t="str">
        <v>0.290316</v>
      </c>
      <c r="Y90" t="str">
        <v>75</v>
      </c>
      <c r="Z90" t="str">
        <v>149.316</v>
      </c>
      <c r="AA90" t="str">
        <v>0.378135</v>
      </c>
    </row>
    <row r="91" spans="1:27" x14ac:dyDescent="0.35">
      <c r="A91" t="s">
        <v>845</v>
      </c>
      <c r="R91" t="str" cm="1">
        <f t="array" ref="R91:AA91">_xlfn.TEXTSPLIT(A91, ",")</f>
        <v>15</v>
      </c>
      <c r="S91" t="str">
        <v>120</v>
      </c>
      <c r="T91" t="str">
        <v>30</v>
      </c>
      <c r="U91" t="str">
        <v>22</v>
      </c>
      <c r="V91" t="str">
        <v>72</v>
      </c>
      <c r="W91" t="str">
        <v>3.42808</v>
      </c>
      <c r="X91" t="str">
        <v>4.096</v>
      </c>
      <c r="Y91" t="str">
        <v>99</v>
      </c>
      <c r="Z91" t="str">
        <v>95.3191</v>
      </c>
      <c r="AA91" t="str">
        <v>0</v>
      </c>
    </row>
    <row r="92" spans="1:27" x14ac:dyDescent="0.35">
      <c r="A92" t="s">
        <v>846</v>
      </c>
      <c r="R92" t="str" cm="1">
        <f t="array" ref="R92:AA92">_xlfn.TEXTSPLIT(A92, ",")</f>
        <v>15</v>
      </c>
      <c r="S92" t="str">
        <v>120</v>
      </c>
      <c r="T92" t="str">
        <v>34</v>
      </c>
      <c r="U92" t="str">
        <v>20</v>
      </c>
      <c r="V92" t="str">
        <v>100</v>
      </c>
      <c r="W92" t="str">
        <v>0</v>
      </c>
      <c r="X92" t="str">
        <v>0</v>
      </c>
      <c r="Y92" t="str">
        <v>100</v>
      </c>
      <c r="Z92" t="str">
        <v>0</v>
      </c>
      <c r="AA92" t="str">
        <v>0</v>
      </c>
    </row>
    <row r="93" spans="1:27" x14ac:dyDescent="0.35">
      <c r="A93" t="s">
        <v>847</v>
      </c>
      <c r="R93" t="str" cm="1">
        <f t="array" ref="R93:AA93">_xlfn.TEXTSPLIT(A93, ",")</f>
        <v>15</v>
      </c>
      <c r="S93" t="str">
        <v>120</v>
      </c>
      <c r="T93" t="str">
        <v>34</v>
      </c>
      <c r="U93" t="str">
        <v>22</v>
      </c>
      <c r="V93" t="str">
        <v>100</v>
      </c>
      <c r="W93" t="str">
        <v>0</v>
      </c>
      <c r="X93" t="str">
        <v>0</v>
      </c>
      <c r="Y93" t="str">
        <v>100</v>
      </c>
      <c r="Z93" t="str">
        <v>0</v>
      </c>
      <c r="AA93" t="str">
        <v>0</v>
      </c>
    </row>
    <row r="94" spans="1:27" x14ac:dyDescent="0.35">
      <c r="A94" t="s">
        <v>848</v>
      </c>
      <c r="R94" t="str" cm="1">
        <f t="array" ref="R94:AA94">_xlfn.TEXTSPLIT(A94, ",")</f>
        <v>15</v>
      </c>
      <c r="S94" t="str">
        <v>140</v>
      </c>
      <c r="T94" t="str">
        <v>30</v>
      </c>
      <c r="U94" t="str">
        <v>20</v>
      </c>
      <c r="V94" t="str">
        <v>100</v>
      </c>
      <c r="W94" t="str">
        <v>0</v>
      </c>
      <c r="X94" t="str">
        <v>0</v>
      </c>
      <c r="Y94" t="str">
        <v>100</v>
      </c>
      <c r="Z94" t="str">
        <v>0</v>
      </c>
      <c r="AA94" t="str">
        <v>0</v>
      </c>
    </row>
    <row r="95" spans="1:27" x14ac:dyDescent="0.35">
      <c r="A95" t="s">
        <v>849</v>
      </c>
      <c r="R95" t="str" cm="1">
        <f t="array" ref="R95:AA95">_xlfn.TEXTSPLIT(A95, ",")</f>
        <v>15</v>
      </c>
      <c r="S95" t="str">
        <v>140</v>
      </c>
      <c r="T95" t="str">
        <v>30</v>
      </c>
      <c r="U95" t="str">
        <v>22</v>
      </c>
      <c r="V95" t="str">
        <v>23</v>
      </c>
      <c r="W95" t="str">
        <v>39.9935</v>
      </c>
      <c r="X95" t="str">
        <v>5.68274</v>
      </c>
      <c r="Y95" t="str">
        <v>68</v>
      </c>
      <c r="Z95" t="str">
        <v>150.696</v>
      </c>
      <c r="AA95" t="str">
        <v>0.449094</v>
      </c>
    </row>
    <row r="96" spans="1:27" x14ac:dyDescent="0.35">
      <c r="A96" t="s">
        <v>850</v>
      </c>
      <c r="R96" t="str" cm="1">
        <f t="array" ref="R96:AA96">_xlfn.TEXTSPLIT(A96, ",")</f>
        <v>15</v>
      </c>
      <c r="S96" t="str">
        <v>140</v>
      </c>
      <c r="T96" t="str">
        <v>34</v>
      </c>
      <c r="U96" t="str">
        <v>20</v>
      </c>
      <c r="V96" t="str">
        <v>100</v>
      </c>
      <c r="W96" t="str">
        <v>0</v>
      </c>
      <c r="X96" t="str">
        <v>0</v>
      </c>
      <c r="Y96" t="str">
        <v>98</v>
      </c>
      <c r="Z96" t="str">
        <v>191.195</v>
      </c>
      <c r="AA96" t="str">
        <v>19338.6</v>
      </c>
    </row>
    <row r="97" spans="1:27" x14ac:dyDescent="0.35">
      <c r="A97" t="s">
        <v>851</v>
      </c>
      <c r="R97" t="str" cm="1">
        <f t="array" ref="R97:AA97">_xlfn.TEXTSPLIT(A97, ",")</f>
        <v>15</v>
      </c>
      <c r="S97" t="str">
        <v>140</v>
      </c>
      <c r="T97" t="str">
        <v>34</v>
      </c>
      <c r="U97" t="str">
        <v>22</v>
      </c>
      <c r="V97" t="str">
        <v>71</v>
      </c>
      <c r="W97" t="str">
        <v>189.067</v>
      </c>
      <c r="X97" t="str">
        <v>0.296954</v>
      </c>
      <c r="Y97" t="str">
        <v>89</v>
      </c>
      <c r="Z97" t="str">
        <v>164.332</v>
      </c>
      <c r="AA97" t="str">
        <v>0.360213</v>
      </c>
    </row>
    <row r="98" spans="1:27" x14ac:dyDescent="0.35">
      <c r="A98" t="s">
        <v>852</v>
      </c>
      <c r="R98" t="str" cm="1">
        <f t="array" ref="R98:AA98">_xlfn.TEXTSPLIT(A98, ",")</f>
        <v>15</v>
      </c>
      <c r="S98" t="str">
        <v>160</v>
      </c>
      <c r="T98" t="str">
        <v>30</v>
      </c>
      <c r="U98" t="str">
        <v>20</v>
      </c>
      <c r="V98" t="str">
        <v>98</v>
      </c>
      <c r="W98" t="str">
        <v>384.192</v>
      </c>
      <c r="X98" t="str">
        <v>15058.8</v>
      </c>
      <c r="Y98" t="str">
        <v>95</v>
      </c>
      <c r="Z98" t="str">
        <v>181.821</v>
      </c>
      <c r="AA98" t="str">
        <v>12086.6</v>
      </c>
    </row>
    <row r="99" spans="1:27" x14ac:dyDescent="0.35">
      <c r="A99" t="s">
        <v>853</v>
      </c>
      <c r="R99" t="str" cm="1">
        <f t="array" ref="R99:AA99">_xlfn.TEXTSPLIT(A99, ",")</f>
        <v>15</v>
      </c>
      <c r="S99" t="str">
        <v>160</v>
      </c>
      <c r="T99" t="str">
        <v>30</v>
      </c>
      <c r="U99" t="str">
        <v>22</v>
      </c>
      <c r="V99" t="str">
        <v>100</v>
      </c>
      <c r="W99" t="str">
        <v>0</v>
      </c>
      <c r="X99" t="str">
        <v>0</v>
      </c>
      <c r="Y99" t="str">
        <v>100</v>
      </c>
      <c r="Z99" t="str">
        <v>0</v>
      </c>
      <c r="AA99" t="str">
        <v>0</v>
      </c>
    </row>
    <row r="100" spans="1:27" x14ac:dyDescent="0.35">
      <c r="A100" t="s">
        <v>854</v>
      </c>
      <c r="R100" t="str" cm="1">
        <f t="array" ref="R100:AA100">_xlfn.TEXTSPLIT(A100, ",")</f>
        <v>15</v>
      </c>
      <c r="S100" t="str">
        <v>160</v>
      </c>
      <c r="T100" t="str">
        <v>34</v>
      </c>
      <c r="U100" t="str">
        <v>20</v>
      </c>
      <c r="V100" t="str">
        <v>86</v>
      </c>
      <c r="W100" t="str">
        <v>2.0129</v>
      </c>
      <c r="X100" t="str">
        <v>3.95476</v>
      </c>
      <c r="Y100" t="str">
        <v>99</v>
      </c>
      <c r="Z100" t="str">
        <v>3.94408</v>
      </c>
      <c r="AA100" t="str">
        <v>0</v>
      </c>
    </row>
    <row r="101" spans="1:27" x14ac:dyDescent="0.35">
      <c r="A101" t="s">
        <v>855</v>
      </c>
      <c r="R101" t="str" cm="1">
        <f t="array" ref="R101:AA101">_xlfn.TEXTSPLIT(A101, ",")</f>
        <v>15</v>
      </c>
      <c r="S101" t="str">
        <v>160</v>
      </c>
      <c r="T101" t="str">
        <v>34</v>
      </c>
      <c r="U101" t="str">
        <v>22</v>
      </c>
      <c r="V101" t="str">
        <v>68</v>
      </c>
      <c r="W101" t="str">
        <v>1.37134</v>
      </c>
      <c r="X101" t="str">
        <v>2.42775</v>
      </c>
      <c r="Y101" t="str">
        <v>98</v>
      </c>
      <c r="Z101" t="str">
        <v>2.63158</v>
      </c>
      <c r="AA101" t="str">
        <v>2.21386</v>
      </c>
    </row>
    <row r="102" spans="1:27" x14ac:dyDescent="0.35">
      <c r="A102" t="s">
        <v>856</v>
      </c>
      <c r="R102" t="str" cm="1">
        <f t="array" ref="R102:AA102">_xlfn.TEXTSPLIT(A102, ",")</f>
        <v>20</v>
      </c>
      <c r="S102" t="str">
        <v>120</v>
      </c>
      <c r="T102" t="str">
        <v>30</v>
      </c>
      <c r="U102" t="str">
        <v>20</v>
      </c>
      <c r="V102" t="str">
        <v>100</v>
      </c>
      <c r="W102" t="str">
        <v>0</v>
      </c>
      <c r="X102" t="str">
        <v>0</v>
      </c>
      <c r="Y102" t="str">
        <v>100</v>
      </c>
      <c r="Z102" t="str">
        <v>0</v>
      </c>
      <c r="AA102" t="str">
        <v>0</v>
      </c>
    </row>
    <row r="103" spans="1:27" x14ac:dyDescent="0.35">
      <c r="A103" t="s">
        <v>857</v>
      </c>
      <c r="R103" t="str" cm="1">
        <f t="array" ref="R103:AA103">_xlfn.TEXTSPLIT(A103, ",")</f>
        <v>20</v>
      </c>
      <c r="S103" t="str">
        <v>120</v>
      </c>
      <c r="T103" t="str">
        <v>30</v>
      </c>
      <c r="U103" t="str">
        <v>22</v>
      </c>
      <c r="V103" t="str">
        <v>22</v>
      </c>
      <c r="W103" t="str">
        <v>51.7879</v>
      </c>
      <c r="X103" t="str">
        <v>39.9224</v>
      </c>
      <c r="Y103" t="str">
        <v>93</v>
      </c>
      <c r="Z103" t="str">
        <v>116.947</v>
      </c>
      <c r="AA103" t="str">
        <v>11280.8</v>
      </c>
    </row>
    <row r="104" spans="1:27" x14ac:dyDescent="0.35">
      <c r="A104" t="s">
        <v>858</v>
      </c>
      <c r="R104" t="str" cm="1">
        <f t="array" ref="R104:AA104">_xlfn.TEXTSPLIT(A104, ",")</f>
        <v>20</v>
      </c>
      <c r="S104" t="str">
        <v>120</v>
      </c>
      <c r="T104" t="str">
        <v>34</v>
      </c>
      <c r="U104" t="str">
        <v>20</v>
      </c>
      <c r="V104" t="str">
        <v>100</v>
      </c>
      <c r="W104" t="str">
        <v>0</v>
      </c>
      <c r="X104" t="str">
        <v>0</v>
      </c>
      <c r="Y104" t="str">
        <v>97</v>
      </c>
      <c r="Z104" t="str">
        <v>201.195</v>
      </c>
      <c r="AA104" t="str">
        <v>14503.9</v>
      </c>
    </row>
    <row r="105" spans="1:27" x14ac:dyDescent="0.35">
      <c r="A105" t="s">
        <v>859</v>
      </c>
      <c r="R105" t="str" cm="1">
        <f t="array" ref="R105:AA105">_xlfn.TEXTSPLIT(A105, ",")</f>
        <v>20</v>
      </c>
      <c r="S105" t="str">
        <v>120</v>
      </c>
      <c r="T105" t="str">
        <v>34</v>
      </c>
      <c r="U105" t="str">
        <v>22</v>
      </c>
      <c r="V105" t="str">
        <v>95</v>
      </c>
      <c r="W105" t="str">
        <v>1437.94</v>
      </c>
      <c r="X105" t="str">
        <v>9411.76</v>
      </c>
      <c r="Y105" t="str">
        <v>100</v>
      </c>
      <c r="Z105" t="str">
        <v>0</v>
      </c>
      <c r="AA105" t="str">
        <v>0</v>
      </c>
    </row>
    <row r="106" spans="1:27" x14ac:dyDescent="0.35">
      <c r="A106" t="s">
        <v>860</v>
      </c>
      <c r="R106" t="str" cm="1">
        <f t="array" ref="R106:AA106">_xlfn.TEXTSPLIT(A106, ",")</f>
        <v>20</v>
      </c>
      <c r="S106" t="str">
        <v>140</v>
      </c>
      <c r="T106" t="str">
        <v>30</v>
      </c>
      <c r="U106" t="str">
        <v>20</v>
      </c>
      <c r="V106" t="str">
        <v>100</v>
      </c>
      <c r="W106" t="str">
        <v>0</v>
      </c>
      <c r="X106" t="str">
        <v>0</v>
      </c>
      <c r="Y106" t="str">
        <v>100</v>
      </c>
      <c r="Z106" t="str">
        <v>0</v>
      </c>
      <c r="AA106" t="str">
        <v>0</v>
      </c>
    </row>
    <row r="107" spans="1:27" x14ac:dyDescent="0.35">
      <c r="A107" t="s">
        <v>861</v>
      </c>
      <c r="R107" t="str" cm="1">
        <f t="array" ref="R107:AA107">_xlfn.TEXTSPLIT(A107, ",")</f>
        <v>20</v>
      </c>
      <c r="S107" t="str">
        <v>140</v>
      </c>
      <c r="T107" t="str">
        <v>30</v>
      </c>
      <c r="U107" t="str">
        <v>22</v>
      </c>
      <c r="V107" t="str">
        <v>100</v>
      </c>
      <c r="W107" t="str">
        <v>0</v>
      </c>
      <c r="X107" t="str">
        <v>0</v>
      </c>
      <c r="Y107" t="str">
        <v>100</v>
      </c>
      <c r="Z107" t="str">
        <v>0</v>
      </c>
      <c r="AA107" t="str">
        <v>0</v>
      </c>
    </row>
    <row r="108" spans="1:27" x14ac:dyDescent="0.35">
      <c r="A108" t="s">
        <v>862</v>
      </c>
      <c r="R108" t="str" cm="1">
        <f t="array" ref="R108:AA108">_xlfn.TEXTSPLIT(A108, ",")</f>
        <v>20</v>
      </c>
      <c r="S108" t="str">
        <v>140</v>
      </c>
      <c r="T108" t="str">
        <v>34</v>
      </c>
      <c r="U108" t="str">
        <v>20</v>
      </c>
      <c r="V108" t="str">
        <v>100</v>
      </c>
      <c r="W108" t="str">
        <v>0</v>
      </c>
      <c r="X108" t="str">
        <v>0</v>
      </c>
      <c r="Y108" t="str">
        <v>100</v>
      </c>
      <c r="Z108" t="str">
        <v>0</v>
      </c>
      <c r="AA108" t="str">
        <v>0</v>
      </c>
    </row>
    <row r="109" spans="1:27" x14ac:dyDescent="0.35">
      <c r="A109" t="s">
        <v>863</v>
      </c>
      <c r="R109" t="str" cm="1">
        <f t="array" ref="R109:AA109">_xlfn.TEXTSPLIT(A109, ",")</f>
        <v>20</v>
      </c>
      <c r="S109" t="str">
        <v>140</v>
      </c>
      <c r="T109" t="str">
        <v>34</v>
      </c>
      <c r="U109" t="str">
        <v>22</v>
      </c>
      <c r="V109" t="str">
        <v>100</v>
      </c>
      <c r="W109" t="str">
        <v>0</v>
      </c>
      <c r="X109" t="str">
        <v>0</v>
      </c>
      <c r="Y109" t="str">
        <v>100</v>
      </c>
      <c r="Z109" t="str">
        <v>0</v>
      </c>
      <c r="AA109" t="str">
        <v>0</v>
      </c>
    </row>
    <row r="110" spans="1:27" x14ac:dyDescent="0.35">
      <c r="A110" t="s">
        <v>864</v>
      </c>
      <c r="R110" t="str" cm="1">
        <f t="array" ref="R110:AA110">_xlfn.TEXTSPLIT(A110, ",")</f>
        <v>20</v>
      </c>
      <c r="S110" t="str">
        <v>160</v>
      </c>
      <c r="T110" t="str">
        <v>30</v>
      </c>
      <c r="U110" t="str">
        <v>20</v>
      </c>
      <c r="V110" t="str">
        <v>100</v>
      </c>
      <c r="W110" t="str">
        <v>0</v>
      </c>
      <c r="X110" t="str">
        <v>0</v>
      </c>
      <c r="Y110" t="str">
        <v>98</v>
      </c>
      <c r="Z110" t="str">
        <v>196.195</v>
      </c>
      <c r="AA110" t="str">
        <v>19338.6</v>
      </c>
    </row>
    <row r="111" spans="1:27" x14ac:dyDescent="0.35">
      <c r="A111" t="s">
        <v>865</v>
      </c>
      <c r="R111" t="str" cm="1">
        <f t="array" ref="R111:AA111">_xlfn.TEXTSPLIT(A111, ",")</f>
        <v>20</v>
      </c>
      <c r="S111" t="str">
        <v>160</v>
      </c>
      <c r="T111" t="str">
        <v>30</v>
      </c>
      <c r="U111" t="str">
        <v>22</v>
      </c>
      <c r="V111" t="str">
        <v>100</v>
      </c>
      <c r="W111" t="str">
        <v>0</v>
      </c>
      <c r="X111" t="str">
        <v>0</v>
      </c>
      <c r="Y111" t="str">
        <v>100</v>
      </c>
      <c r="Z111" t="str">
        <v>0</v>
      </c>
      <c r="AA111" t="str">
        <v>0</v>
      </c>
    </row>
    <row r="112" spans="1:27" x14ac:dyDescent="0.35">
      <c r="A112" t="s">
        <v>866</v>
      </c>
      <c r="R112" t="str" cm="1">
        <f t="array" ref="R112:AA112">_xlfn.TEXTSPLIT(A112, ",")</f>
        <v>20</v>
      </c>
      <c r="S112" t="str">
        <v>160</v>
      </c>
      <c r="T112" t="str">
        <v>34</v>
      </c>
      <c r="U112" t="str">
        <v>20</v>
      </c>
      <c r="V112" t="str">
        <v>100</v>
      </c>
      <c r="W112" t="str">
        <v>0</v>
      </c>
      <c r="X112" t="str">
        <v>0</v>
      </c>
      <c r="Y112" t="str">
        <v>98</v>
      </c>
      <c r="Z112" t="str">
        <v>137.57</v>
      </c>
      <c r="AA112" t="str">
        <v>19338.6</v>
      </c>
    </row>
    <row r="113" spans="1:27" x14ac:dyDescent="0.35">
      <c r="A113" t="s">
        <v>867</v>
      </c>
      <c r="R113" t="str" cm="1">
        <f t="array" ref="R113:AA113">_xlfn.TEXTSPLIT(A113, ",")</f>
        <v>20</v>
      </c>
      <c r="S113" t="str">
        <v>160</v>
      </c>
      <c r="T113" t="str">
        <v>34</v>
      </c>
      <c r="U113" t="str">
        <v>22</v>
      </c>
      <c r="V113" t="str">
        <v>100</v>
      </c>
      <c r="W113" t="str">
        <v>0</v>
      </c>
      <c r="X113" t="str">
        <v>0</v>
      </c>
      <c r="Y113" t="str">
        <v>100</v>
      </c>
      <c r="Z113" t="str">
        <v>0</v>
      </c>
      <c r="AA113" t="str">
        <v>0</v>
      </c>
    </row>
    <row r="114" spans="1:27" x14ac:dyDescent="0.35">
      <c r="A114" t="s">
        <v>868</v>
      </c>
      <c r="R114" t="str" cm="1">
        <f t="array" ref="R114:AA114">_xlfn.TEXTSPLIT(A114, ",")</f>
        <v>35</v>
      </c>
      <c r="S114" t="str">
        <v>120</v>
      </c>
      <c r="T114" t="str">
        <v>30</v>
      </c>
      <c r="U114" t="str">
        <v>20</v>
      </c>
      <c r="V114" t="str">
        <v>100</v>
      </c>
      <c r="W114" t="str">
        <v>0</v>
      </c>
      <c r="X114" t="str">
        <v>0</v>
      </c>
      <c r="Y114" t="str">
        <v>100</v>
      </c>
      <c r="Z114" t="str">
        <v>0</v>
      </c>
      <c r="AA114" t="str">
        <v>0</v>
      </c>
    </row>
    <row r="115" spans="1:27" x14ac:dyDescent="0.35">
      <c r="A115" t="s">
        <v>869</v>
      </c>
      <c r="R115" t="str" cm="1">
        <f t="array" ref="R115:AA115">_xlfn.TEXTSPLIT(A115, ",")</f>
        <v>35</v>
      </c>
      <c r="S115" t="str">
        <v>120</v>
      </c>
      <c r="T115" t="str">
        <v>30</v>
      </c>
      <c r="U115" t="str">
        <v>22</v>
      </c>
      <c r="V115" t="str">
        <v>39</v>
      </c>
      <c r="W115" t="str">
        <v>192.789</v>
      </c>
      <c r="X115" t="str">
        <v>0.299577</v>
      </c>
      <c r="Y115" t="str">
        <v>96</v>
      </c>
      <c r="Z115" t="str">
        <v>142.632</v>
      </c>
      <c r="AA115" t="str">
        <v>0.28527</v>
      </c>
    </row>
    <row r="116" spans="1:27" x14ac:dyDescent="0.35">
      <c r="A116" t="s">
        <v>870</v>
      </c>
      <c r="R116" t="str" cm="1">
        <f t="array" ref="R116:AA116">_xlfn.TEXTSPLIT(A116, ",")</f>
        <v>35</v>
      </c>
      <c r="S116" t="str">
        <v>120</v>
      </c>
      <c r="T116" t="str">
        <v>34</v>
      </c>
      <c r="U116" t="str">
        <v>20</v>
      </c>
      <c r="V116" t="str">
        <v>100</v>
      </c>
      <c r="W116" t="str">
        <v>0</v>
      </c>
      <c r="X116" t="str">
        <v>0</v>
      </c>
      <c r="Y116" t="str">
        <v>100</v>
      </c>
      <c r="Z116" t="str">
        <v>0</v>
      </c>
      <c r="AA116" t="str">
        <v>0</v>
      </c>
    </row>
    <row r="117" spans="1:27" x14ac:dyDescent="0.35">
      <c r="A117" t="s">
        <v>871</v>
      </c>
      <c r="R117" t="str" cm="1">
        <f t="array" ref="R117:AA117">_xlfn.TEXTSPLIT(A117, ",")</f>
        <v>35</v>
      </c>
      <c r="S117" t="str">
        <v>120</v>
      </c>
      <c r="T117" t="str">
        <v>34</v>
      </c>
      <c r="U117" t="str">
        <v>22</v>
      </c>
      <c r="V117" t="str">
        <v>100</v>
      </c>
      <c r="W117" t="str">
        <v>0</v>
      </c>
      <c r="X117" t="str">
        <v>0</v>
      </c>
      <c r="Y117" t="str">
        <v>100</v>
      </c>
      <c r="Z117" t="str">
        <v>0</v>
      </c>
      <c r="AA117" t="str">
        <v>0</v>
      </c>
    </row>
    <row r="118" spans="1:27" x14ac:dyDescent="0.35">
      <c r="A118" t="s">
        <v>872</v>
      </c>
      <c r="R118" t="str" cm="1">
        <f t="array" ref="R118:AA118">_xlfn.TEXTSPLIT(A118, ",")</f>
        <v>35</v>
      </c>
      <c r="S118" t="str">
        <v>140</v>
      </c>
      <c r="T118" t="str">
        <v>30</v>
      </c>
      <c r="U118" t="str">
        <v>20</v>
      </c>
      <c r="V118" t="str">
        <v>61</v>
      </c>
      <c r="W118" t="str">
        <v>95.1153</v>
      </c>
      <c r="X118" t="str">
        <v>0.177198</v>
      </c>
      <c r="Y118" t="str">
        <v>99</v>
      </c>
      <c r="Z118" t="str">
        <v>11.1941</v>
      </c>
      <c r="AA118" t="str">
        <v>0</v>
      </c>
    </row>
    <row r="119" spans="1:27" x14ac:dyDescent="0.35">
      <c r="A119" t="s">
        <v>873</v>
      </c>
      <c r="R119" t="str" cm="1">
        <f t="array" ref="R119:AA119">_xlfn.TEXTSPLIT(A119, ",")</f>
        <v>35</v>
      </c>
      <c r="S119" t="str">
        <v>140</v>
      </c>
      <c r="T119" t="str">
        <v>30</v>
      </c>
      <c r="U119" t="str">
        <v>22</v>
      </c>
      <c r="V119" t="str">
        <v>100</v>
      </c>
      <c r="W119" t="str">
        <v>0</v>
      </c>
      <c r="X119" t="str">
        <v>0</v>
      </c>
      <c r="Y119" t="str">
        <v>99</v>
      </c>
      <c r="Z119" t="str">
        <v>193.194</v>
      </c>
      <c r="AA119" t="str">
        <v>0</v>
      </c>
    </row>
    <row r="120" spans="1:27" x14ac:dyDescent="0.35">
      <c r="A120" t="s">
        <v>874</v>
      </c>
      <c r="R120" t="str" cm="1">
        <f t="array" ref="R120:AA120">_xlfn.TEXTSPLIT(A120, ",")</f>
        <v>35</v>
      </c>
      <c r="S120" t="str">
        <v>140</v>
      </c>
      <c r="T120" t="str">
        <v>34</v>
      </c>
      <c r="U120" t="str">
        <v>20</v>
      </c>
      <c r="V120" t="str">
        <v>100</v>
      </c>
      <c r="W120" t="str">
        <v>0</v>
      </c>
      <c r="X120" t="str">
        <v>0</v>
      </c>
      <c r="Y120" t="str">
        <v>99</v>
      </c>
      <c r="Z120" t="str">
        <v>183.194</v>
      </c>
      <c r="AA120" t="str">
        <v>0</v>
      </c>
    </row>
    <row r="121" spans="1:27" x14ac:dyDescent="0.35">
      <c r="A121" t="s">
        <v>875</v>
      </c>
      <c r="R121" t="str" cm="1">
        <f t="array" ref="R121:AA121">_xlfn.TEXTSPLIT(A121, ",")</f>
        <v>35</v>
      </c>
      <c r="S121" t="str">
        <v>140</v>
      </c>
      <c r="T121" t="str">
        <v>34</v>
      </c>
      <c r="U121" t="str">
        <v>22</v>
      </c>
      <c r="V121" t="str">
        <v>100</v>
      </c>
      <c r="W121" t="str">
        <v>0</v>
      </c>
      <c r="X121" t="str">
        <v>0</v>
      </c>
      <c r="Y121" t="str">
        <v>100</v>
      </c>
      <c r="Z121" t="str">
        <v>0</v>
      </c>
      <c r="AA121" t="str">
        <v>0</v>
      </c>
    </row>
    <row r="122" spans="1:27" x14ac:dyDescent="0.35">
      <c r="A122" t="s">
        <v>876</v>
      </c>
      <c r="R122" t="str" cm="1">
        <f t="array" ref="R122:AA122">_xlfn.TEXTSPLIT(A122, ",")</f>
        <v>35</v>
      </c>
      <c r="S122" t="str">
        <v>160</v>
      </c>
      <c r="T122" t="str">
        <v>30</v>
      </c>
      <c r="U122" t="str">
        <v>20</v>
      </c>
      <c r="V122" t="str">
        <v>100</v>
      </c>
      <c r="W122" t="str">
        <v>0</v>
      </c>
      <c r="X122" t="str">
        <v>0</v>
      </c>
      <c r="Y122" t="str">
        <v>100</v>
      </c>
      <c r="Z122" t="str">
        <v>0</v>
      </c>
      <c r="AA122" t="str">
        <v>0</v>
      </c>
    </row>
    <row r="123" spans="1:27" x14ac:dyDescent="0.35">
      <c r="A123" t="s">
        <v>877</v>
      </c>
      <c r="R123" t="str" cm="1">
        <f t="array" ref="R123:AA123">_xlfn.TEXTSPLIT(A123, ",")</f>
        <v>35</v>
      </c>
      <c r="S123" t="str">
        <v>160</v>
      </c>
      <c r="T123" t="str">
        <v>30</v>
      </c>
      <c r="U123" t="str">
        <v>22</v>
      </c>
      <c r="V123" t="str">
        <v>100</v>
      </c>
      <c r="W123" t="str">
        <v>0</v>
      </c>
      <c r="X123" t="str">
        <v>0</v>
      </c>
      <c r="Y123" t="str">
        <v>100</v>
      </c>
      <c r="Z123" t="str">
        <v>0</v>
      </c>
      <c r="AA123" t="str">
        <v>0</v>
      </c>
    </row>
    <row r="124" spans="1:27" x14ac:dyDescent="0.35">
      <c r="A124" t="s">
        <v>878</v>
      </c>
      <c r="R124" t="str" cm="1">
        <f t="array" ref="R124:AA124">_xlfn.TEXTSPLIT(A124, ",")</f>
        <v>35</v>
      </c>
      <c r="S124" t="str">
        <v>160</v>
      </c>
      <c r="T124" t="str">
        <v>34</v>
      </c>
      <c r="U124" t="str">
        <v>20</v>
      </c>
      <c r="V124" t="str">
        <v>100</v>
      </c>
      <c r="W124" t="str">
        <v>0</v>
      </c>
      <c r="X124" t="str">
        <v>0</v>
      </c>
      <c r="Y124" t="str">
        <v>100</v>
      </c>
      <c r="Z124" t="str">
        <v>0</v>
      </c>
      <c r="AA124" t="str">
        <v>0</v>
      </c>
    </row>
    <row r="125" spans="1:27" x14ac:dyDescent="0.35">
      <c r="A125" t="s">
        <v>879</v>
      </c>
      <c r="R125" t="str" cm="1">
        <f t="array" ref="R125:AA125">_xlfn.TEXTSPLIT(A125, ",")</f>
        <v>35</v>
      </c>
      <c r="S125" t="str">
        <v>160</v>
      </c>
      <c r="T125" t="str">
        <v>34</v>
      </c>
      <c r="U125" t="str">
        <v>22</v>
      </c>
      <c r="V125" t="str">
        <v>100</v>
      </c>
      <c r="W125" t="str">
        <v>0</v>
      </c>
      <c r="X125" t="str">
        <v>0</v>
      </c>
      <c r="Y125" t="str">
        <v>100</v>
      </c>
      <c r="Z125" t="str">
        <v>0</v>
      </c>
      <c r="AA125" t="str">
        <v>0</v>
      </c>
    </row>
    <row r="126" spans="1:27" x14ac:dyDescent="0.35">
      <c r="A126" t="s">
        <v>880</v>
      </c>
      <c r="R126" t="str" cm="1">
        <f t="array" ref="R126:AA126">_xlfn.TEXTSPLIT(A126, ",")</f>
        <v>45</v>
      </c>
      <c r="S126" t="str">
        <v>120</v>
      </c>
      <c r="T126" t="str">
        <v>30</v>
      </c>
      <c r="U126" t="str">
        <v>20</v>
      </c>
      <c r="V126" t="str">
        <v>100</v>
      </c>
      <c r="W126" t="str">
        <v>0</v>
      </c>
      <c r="X126" t="str">
        <v>0</v>
      </c>
      <c r="Y126" t="str">
        <v>100</v>
      </c>
      <c r="Z126" t="str">
        <v>0</v>
      </c>
      <c r="AA126" t="str">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3C7D6-5749-4544-82F8-74B99536A3D7}">
  <dimension ref="A1:L39"/>
  <sheetViews>
    <sheetView tabSelected="1" topLeftCell="B1" zoomScale="64" workbookViewId="0">
      <selection activeCell="D7" sqref="D7"/>
    </sheetView>
  </sheetViews>
  <sheetFormatPr defaultRowHeight="14.5" x14ac:dyDescent="0.35"/>
  <cols>
    <col min="1" max="1" width="10" customWidth="1"/>
    <col min="2" max="2" width="13.453125" customWidth="1"/>
    <col min="3" max="3" width="14.08984375" customWidth="1"/>
    <col min="4" max="4" width="16.7265625" customWidth="1"/>
  </cols>
  <sheetData>
    <row r="1" spans="1:12" ht="66.5" thickBot="1" x14ac:dyDescent="0.4">
      <c r="A1" s="2" t="s">
        <v>826</v>
      </c>
      <c r="B1" s="3" t="s">
        <v>829</v>
      </c>
      <c r="C1" s="3" t="s">
        <v>837</v>
      </c>
      <c r="D1" s="3" t="s">
        <v>838</v>
      </c>
      <c r="E1" s="3" t="s">
        <v>839</v>
      </c>
      <c r="H1" s="2" t="s">
        <v>826</v>
      </c>
      <c r="I1" s="3" t="s">
        <v>830</v>
      </c>
      <c r="J1" s="3" t="s">
        <v>834</v>
      </c>
      <c r="K1" s="3" t="s">
        <v>835</v>
      </c>
      <c r="L1" s="3" t="s">
        <v>836</v>
      </c>
    </row>
    <row r="2" spans="1:12" ht="17" thickBot="1" x14ac:dyDescent="0.4">
      <c r="A2" s="4">
        <v>0</v>
      </c>
      <c r="B2" s="5">
        <v>0.94199999999999995</v>
      </c>
      <c r="C2" s="5">
        <v>0.5</v>
      </c>
      <c r="D2" s="5">
        <v>3.0000000000000001E-3</v>
      </c>
      <c r="E2" s="5">
        <v>1.845</v>
      </c>
      <c r="H2" s="4">
        <v>0</v>
      </c>
      <c r="I2" s="5">
        <v>18.498000000000001</v>
      </c>
      <c r="J2" s="5">
        <v>0.22700000000000001</v>
      </c>
      <c r="K2" s="5">
        <v>13.904</v>
      </c>
      <c r="L2" s="5">
        <v>8.7390000000000008</v>
      </c>
    </row>
    <row r="3" spans="1:12" ht="17" thickBot="1" x14ac:dyDescent="0.4">
      <c r="A3" s="4">
        <v>5</v>
      </c>
      <c r="B3" s="5">
        <v>0.94199999999999995</v>
      </c>
      <c r="C3" s="5">
        <v>0.5</v>
      </c>
      <c r="D3" s="5">
        <v>3.0000000000000001E-3</v>
      </c>
      <c r="E3" s="5">
        <v>1.845</v>
      </c>
      <c r="H3" s="4">
        <v>5</v>
      </c>
      <c r="I3" s="5">
        <v>38.566000000000003</v>
      </c>
      <c r="J3" s="5">
        <v>0.24199999999999999</v>
      </c>
      <c r="K3" s="5">
        <v>72.283000000000001</v>
      </c>
      <c r="L3" s="5">
        <v>7.93</v>
      </c>
    </row>
    <row r="4" spans="1:12" ht="17" thickBot="1" x14ac:dyDescent="0.4">
      <c r="A4" s="4">
        <v>10</v>
      </c>
      <c r="B4" s="5">
        <v>1.2989999999999999</v>
      </c>
      <c r="C4" s="5">
        <v>0.27200000000000002</v>
      </c>
      <c r="D4" s="5">
        <v>6.0000000000000001E-3</v>
      </c>
      <c r="E4" s="5">
        <v>1.845</v>
      </c>
      <c r="H4" s="4">
        <v>10</v>
      </c>
      <c r="I4" s="5">
        <v>47.127000000000002</v>
      </c>
      <c r="J4" s="5">
        <v>0.249</v>
      </c>
      <c r="K4" s="5">
        <v>47.756</v>
      </c>
      <c r="L4" s="5">
        <v>7.5490000000000004</v>
      </c>
    </row>
    <row r="5" spans="1:12" ht="17" thickBot="1" x14ac:dyDescent="0.4">
      <c r="A5" s="4">
        <v>15</v>
      </c>
      <c r="B5" s="5">
        <v>1.4870000000000001</v>
      </c>
      <c r="C5" s="5">
        <v>0.32900000000000001</v>
      </c>
      <c r="D5" s="5">
        <v>58.76</v>
      </c>
      <c r="E5" s="5">
        <v>1.6160000000000001</v>
      </c>
      <c r="H5" s="4">
        <v>15</v>
      </c>
      <c r="I5" s="5">
        <v>18.809000000000001</v>
      </c>
      <c r="J5" s="5">
        <v>0.22900000000000001</v>
      </c>
      <c r="K5" s="5">
        <v>15</v>
      </c>
      <c r="L5" s="5">
        <v>8.6690000000000005</v>
      </c>
    </row>
    <row r="6" spans="1:12" ht="17" thickBot="1" x14ac:dyDescent="0.4">
      <c r="A6" s="4">
        <v>20</v>
      </c>
      <c r="B6" s="5">
        <v>1.129</v>
      </c>
      <c r="C6" s="5">
        <v>0.21299999999999999</v>
      </c>
      <c r="D6" s="5">
        <v>82.218999999999994</v>
      </c>
      <c r="E6" s="5">
        <v>1.2649999999999999</v>
      </c>
      <c r="H6" s="4">
        <v>20</v>
      </c>
      <c r="I6" s="5">
        <v>19.652999999999999</v>
      </c>
      <c r="J6" s="5">
        <v>0.22600000000000001</v>
      </c>
      <c r="K6" s="5">
        <v>13.705</v>
      </c>
      <c r="L6" s="5">
        <v>8.7609999999999992</v>
      </c>
    </row>
    <row r="7" spans="1:12" ht="17" thickBot="1" x14ac:dyDescent="0.4">
      <c r="A7" s="4">
        <v>25</v>
      </c>
      <c r="B7" s="5">
        <v>0.80900000000000005</v>
      </c>
      <c r="C7" s="5">
        <v>0.23300000000000001</v>
      </c>
      <c r="D7" s="5">
        <v>3.0000000000000001E-3</v>
      </c>
      <c r="E7" s="5">
        <v>1.845</v>
      </c>
      <c r="H7" s="4">
        <v>25</v>
      </c>
      <c r="I7" s="5">
        <v>20.079999999999998</v>
      </c>
      <c r="J7" s="5">
        <v>0.23200000000000001</v>
      </c>
      <c r="K7" s="5">
        <v>15.978999999999999</v>
      </c>
      <c r="L7" s="5">
        <v>8.5280000000000005</v>
      </c>
    </row>
    <row r="8" spans="1:12" ht="17" thickBot="1" x14ac:dyDescent="0.4">
      <c r="A8" s="4">
        <v>30</v>
      </c>
      <c r="B8" s="5">
        <v>0.78</v>
      </c>
      <c r="C8" s="5">
        <v>0.17299999999999999</v>
      </c>
      <c r="D8" s="5">
        <v>3.0000000000000001E-3</v>
      </c>
      <c r="E8" s="5">
        <v>1.845</v>
      </c>
      <c r="H8" s="4">
        <v>30</v>
      </c>
      <c r="I8" s="5">
        <v>19.544</v>
      </c>
      <c r="J8" s="5">
        <v>0.22800000000000001</v>
      </c>
      <c r="K8" s="5">
        <v>14.317</v>
      </c>
      <c r="L8" s="5">
        <v>8.6969999999999992</v>
      </c>
    </row>
    <row r="9" spans="1:12" ht="17" thickBot="1" x14ac:dyDescent="0.4">
      <c r="A9" s="4">
        <v>35</v>
      </c>
      <c r="B9" s="5">
        <v>1.839</v>
      </c>
      <c r="C9" s="5">
        <v>0.371</v>
      </c>
      <c r="D9" s="5">
        <v>77.930000000000007</v>
      </c>
      <c r="E9" s="5">
        <v>1.323</v>
      </c>
      <c r="H9">
        <v>35</v>
      </c>
      <c r="I9">
        <v>23.7897</v>
      </c>
      <c r="J9">
        <v>0.22944700000000001</v>
      </c>
      <c r="K9">
        <v>15.2689</v>
      </c>
      <c r="L9">
        <v>8.6000099999999993</v>
      </c>
    </row>
    <row r="10" spans="1:12" ht="17" thickBot="1" x14ac:dyDescent="0.4">
      <c r="A10" s="4">
        <v>40</v>
      </c>
      <c r="B10" s="5">
        <v>0.746</v>
      </c>
      <c r="C10" s="5">
        <v>0.105</v>
      </c>
      <c r="D10" s="5">
        <v>3.0000000000000001E-3</v>
      </c>
      <c r="E10" s="5">
        <v>1.845</v>
      </c>
      <c r="H10" s="4">
        <v>40</v>
      </c>
      <c r="I10" s="5">
        <v>20.658999999999999</v>
      </c>
      <c r="J10" s="5">
        <v>0.23200000000000001</v>
      </c>
      <c r="K10" s="5">
        <v>15.955</v>
      </c>
      <c r="L10" s="5">
        <v>8.5310000000000006</v>
      </c>
    </row>
    <row r="11" spans="1:12" ht="17" thickBot="1" x14ac:dyDescent="0.4">
      <c r="A11" s="4">
        <v>45</v>
      </c>
      <c r="B11" s="5">
        <v>47.935000000000002</v>
      </c>
      <c r="C11" s="5">
        <v>0.72</v>
      </c>
      <c r="D11" s="5">
        <v>96.637</v>
      </c>
      <c r="E11" s="5">
        <v>0.45200000000000001</v>
      </c>
      <c r="H11">
        <v>45</v>
      </c>
      <c r="I11">
        <v>23.745000000000001</v>
      </c>
      <c r="J11">
        <v>0.23268</v>
      </c>
      <c r="K11">
        <v>16.335999999999999</v>
      </c>
      <c r="L11">
        <v>8.4916999999999998</v>
      </c>
    </row>
    <row r="12" spans="1:12" ht="17" thickBot="1" x14ac:dyDescent="0.4">
      <c r="A12" s="4">
        <v>50</v>
      </c>
      <c r="B12" s="5">
        <v>0.754</v>
      </c>
      <c r="C12" s="5">
        <v>0.12</v>
      </c>
      <c r="D12" s="5">
        <v>3.0000000000000001E-3</v>
      </c>
      <c r="E12" s="5">
        <v>1.845</v>
      </c>
      <c r="H12" s="4">
        <v>50</v>
      </c>
      <c r="I12" s="5">
        <v>22.468</v>
      </c>
      <c r="J12" s="5">
        <v>0.23100000000000001</v>
      </c>
      <c r="K12" s="5">
        <v>15.906000000000001</v>
      </c>
      <c r="L12" s="5">
        <v>8.5350000000000001</v>
      </c>
    </row>
    <row r="13" spans="1:12" x14ac:dyDescent="0.35">
      <c r="B13" t="s">
        <v>831</v>
      </c>
      <c r="C13" t="s">
        <v>831</v>
      </c>
      <c r="D13" t="s">
        <v>832</v>
      </c>
      <c r="E13" t="s">
        <v>833</v>
      </c>
      <c r="I13" t="s">
        <v>831</v>
      </c>
      <c r="J13" t="s">
        <v>831</v>
      </c>
      <c r="K13" t="s">
        <v>832</v>
      </c>
      <c r="L13" t="s">
        <v>833</v>
      </c>
    </row>
    <row r="15" spans="1:12" x14ac:dyDescent="0.35">
      <c r="A15" t="s">
        <v>827</v>
      </c>
      <c r="H15" t="s">
        <v>828</v>
      </c>
    </row>
    <row r="18" spans="1:1" x14ac:dyDescent="0.35">
      <c r="A18" s="10"/>
    </row>
    <row r="19" spans="1:1" x14ac:dyDescent="0.35">
      <c r="A19" s="11"/>
    </row>
    <row r="20" spans="1:1" x14ac:dyDescent="0.35">
      <c r="A20" s="11"/>
    </row>
    <row r="35" spans="1:10" ht="43.5" x14ac:dyDescent="0.35">
      <c r="A35" s="12" t="s">
        <v>912</v>
      </c>
      <c r="B35" s="12" t="s">
        <v>913</v>
      </c>
      <c r="C35" s="12" t="s">
        <v>914</v>
      </c>
      <c r="D35" s="12" t="s">
        <v>915</v>
      </c>
      <c r="G35" s="12" t="s">
        <v>976</v>
      </c>
      <c r="H35" s="12" t="s">
        <v>933</v>
      </c>
      <c r="I35" s="12" t="s">
        <v>934</v>
      </c>
      <c r="J35" s="12" t="s">
        <v>935</v>
      </c>
    </row>
    <row r="36" spans="1:10" ht="145" x14ac:dyDescent="0.35">
      <c r="A36" s="14" t="s">
        <v>916</v>
      </c>
      <c r="B36" s="14" t="s">
        <v>917</v>
      </c>
      <c r="C36" s="13" t="s">
        <v>918</v>
      </c>
      <c r="D36" s="13" t="s">
        <v>919</v>
      </c>
      <c r="G36" s="14" t="s">
        <v>977</v>
      </c>
      <c r="H36" s="13" t="s">
        <v>978</v>
      </c>
      <c r="I36" s="13" t="s">
        <v>979</v>
      </c>
      <c r="J36" s="13" t="s">
        <v>980</v>
      </c>
    </row>
    <row r="37" spans="1:10" ht="159.5" x14ac:dyDescent="0.35">
      <c r="A37" s="14" t="s">
        <v>920</v>
      </c>
      <c r="B37" s="13" t="s">
        <v>921</v>
      </c>
      <c r="C37" s="13" t="s">
        <v>922</v>
      </c>
      <c r="D37" s="13" t="s">
        <v>923</v>
      </c>
      <c r="G37" s="14" t="s">
        <v>981</v>
      </c>
      <c r="H37" s="14" t="s">
        <v>982</v>
      </c>
      <c r="I37" s="13" t="s">
        <v>983</v>
      </c>
      <c r="J37" s="13" t="s">
        <v>984</v>
      </c>
    </row>
    <row r="38" spans="1:10" ht="188.5" x14ac:dyDescent="0.35">
      <c r="A38" s="14" t="s">
        <v>924</v>
      </c>
      <c r="B38" s="13" t="s">
        <v>925</v>
      </c>
      <c r="C38" s="13" t="s">
        <v>926</v>
      </c>
      <c r="D38" s="13" t="s">
        <v>927</v>
      </c>
      <c r="G38" s="14" t="s">
        <v>985</v>
      </c>
      <c r="H38" s="13" t="s">
        <v>986</v>
      </c>
      <c r="I38" s="13" t="s">
        <v>987</v>
      </c>
      <c r="J38" s="13" t="s">
        <v>988</v>
      </c>
    </row>
    <row r="39" spans="1:10" ht="159.5" x14ac:dyDescent="0.35">
      <c r="A39" s="14" t="s">
        <v>928</v>
      </c>
      <c r="B39" s="13" t="s">
        <v>929</v>
      </c>
      <c r="C39" s="13" t="s">
        <v>930</v>
      </c>
      <c r="D39" s="13" t="s">
        <v>931</v>
      </c>
      <c r="G39" s="14" t="s">
        <v>989</v>
      </c>
      <c r="H39" s="14" t="s">
        <v>990</v>
      </c>
      <c r="I39" s="13" t="s">
        <v>991</v>
      </c>
      <c r="J39" s="13" t="s">
        <v>992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513F-7AFA-46A9-A4F8-ED11AB4473B7}">
  <dimension ref="A1:L38"/>
  <sheetViews>
    <sheetView zoomScale="64" workbookViewId="0">
      <selection activeCell="H2" sqref="H2:L14"/>
    </sheetView>
  </sheetViews>
  <sheetFormatPr defaultRowHeight="14.5" x14ac:dyDescent="0.35"/>
  <sheetData>
    <row r="1" spans="1:12" ht="66.5" thickBot="1" x14ac:dyDescent="0.4">
      <c r="A1" s="2" t="s">
        <v>842</v>
      </c>
      <c r="B1" s="3" t="s">
        <v>829</v>
      </c>
      <c r="C1" s="3" t="s">
        <v>837</v>
      </c>
      <c r="D1" s="3" t="s">
        <v>838</v>
      </c>
      <c r="E1" s="3" t="s">
        <v>839</v>
      </c>
      <c r="H1" s="2" t="s">
        <v>842</v>
      </c>
      <c r="I1" s="3" t="s">
        <v>830</v>
      </c>
      <c r="J1" s="3" t="s">
        <v>834</v>
      </c>
      <c r="K1" s="3" t="s">
        <v>835</v>
      </c>
      <c r="L1" s="3" t="s">
        <v>836</v>
      </c>
    </row>
    <row r="2" spans="1:12" ht="17" thickBot="1" x14ac:dyDescent="0.4">
      <c r="A2" s="6">
        <v>1.5</v>
      </c>
      <c r="B2" s="7">
        <v>0.746</v>
      </c>
      <c r="C2" s="7">
        <v>0.105</v>
      </c>
      <c r="D2" s="7">
        <v>3.0000000000000001E-3</v>
      </c>
      <c r="E2" s="7">
        <v>1.845</v>
      </c>
      <c r="H2" s="6">
        <v>1.5</v>
      </c>
      <c r="I2" s="7">
        <v>8.5020000000000007</v>
      </c>
      <c r="J2" s="7">
        <v>0.22500000000000001</v>
      </c>
      <c r="K2" s="7">
        <v>8.0000000000000002E-3</v>
      </c>
      <c r="L2" s="7">
        <v>1.845</v>
      </c>
    </row>
    <row r="3" spans="1:12" ht="17" thickBot="1" x14ac:dyDescent="0.4">
      <c r="A3" s="4">
        <v>10</v>
      </c>
      <c r="B3" s="5">
        <v>0.80400000000000005</v>
      </c>
      <c r="C3" s="5">
        <v>0.222</v>
      </c>
      <c r="D3" s="5">
        <v>3.0000000000000001E-3</v>
      </c>
      <c r="E3" s="5">
        <v>1.845</v>
      </c>
      <c r="H3" s="4">
        <v>10</v>
      </c>
      <c r="I3" s="5">
        <v>10.502000000000001</v>
      </c>
      <c r="J3" s="5">
        <v>0.21299999999999999</v>
      </c>
      <c r="K3" s="5">
        <v>8.0000000000000002E-3</v>
      </c>
      <c r="L3" s="5">
        <v>1.845</v>
      </c>
    </row>
    <row r="4" spans="1:12" ht="17" thickBot="1" x14ac:dyDescent="0.4">
      <c r="A4" s="4">
        <v>20</v>
      </c>
      <c r="B4" s="5">
        <v>15.746</v>
      </c>
      <c r="C4" s="5">
        <v>0.47399999999999998</v>
      </c>
      <c r="D4" s="5">
        <v>82.468999999999994</v>
      </c>
      <c r="E4" s="5">
        <v>1.2569999999999999</v>
      </c>
      <c r="H4" s="4">
        <v>20</v>
      </c>
      <c r="I4" s="5" t="s">
        <v>993</v>
      </c>
      <c r="J4" s="5">
        <v>0.245</v>
      </c>
      <c r="K4" s="5">
        <v>8.0000000000000002E-3</v>
      </c>
      <c r="L4" s="5">
        <v>1.845</v>
      </c>
    </row>
    <row r="5" spans="1:12" ht="17" thickBot="1" x14ac:dyDescent="0.4">
      <c r="A5" s="4">
        <v>30</v>
      </c>
      <c r="B5" s="5">
        <v>4.8869999999999996</v>
      </c>
      <c r="C5" s="5">
        <v>0.39200000000000002</v>
      </c>
      <c r="D5" s="5">
        <v>56.226999999999997</v>
      </c>
      <c r="E5" s="5">
        <v>1.6160000000000001</v>
      </c>
      <c r="H5" s="4">
        <v>30</v>
      </c>
      <c r="I5" s="5">
        <v>11.195</v>
      </c>
      <c r="J5" s="5">
        <v>0.24399999999999999</v>
      </c>
      <c r="K5" s="5">
        <v>8.0000000000000002E-3</v>
      </c>
      <c r="L5" s="5">
        <v>1.845</v>
      </c>
    </row>
    <row r="6" spans="1:12" ht="17" thickBot="1" x14ac:dyDescent="0.4">
      <c r="A6" s="4">
        <v>40</v>
      </c>
      <c r="B6" s="5">
        <v>2.9580000000000002</v>
      </c>
      <c r="C6" s="5">
        <v>0.251</v>
      </c>
      <c r="D6" s="5">
        <v>49.078000000000003</v>
      </c>
      <c r="E6" s="5">
        <v>1.6830000000000001</v>
      </c>
      <c r="H6" s="4">
        <v>40</v>
      </c>
      <c r="I6" s="5">
        <v>13.352</v>
      </c>
      <c r="J6" s="5">
        <v>0.33900000000000002</v>
      </c>
      <c r="K6" s="5">
        <v>42.865000000000002</v>
      </c>
      <c r="L6" s="5">
        <v>1.7150000000000001</v>
      </c>
    </row>
    <row r="7" spans="1:12" ht="17" thickBot="1" x14ac:dyDescent="0.4">
      <c r="A7" s="4">
        <v>50</v>
      </c>
      <c r="B7" s="5">
        <v>0.81</v>
      </c>
      <c r="C7" s="5">
        <v>0.23400000000000001</v>
      </c>
      <c r="D7" s="5">
        <v>3.0000000000000001E-3</v>
      </c>
      <c r="E7" s="5">
        <v>1.845</v>
      </c>
      <c r="H7" s="4">
        <v>50</v>
      </c>
      <c r="I7" s="5">
        <v>11.329000000000001</v>
      </c>
      <c r="J7" s="5">
        <v>0.28699999999999998</v>
      </c>
      <c r="K7" s="5">
        <v>8.0000000000000002E-3</v>
      </c>
      <c r="L7" s="5">
        <v>1.845</v>
      </c>
    </row>
    <row r="8" spans="1:12" ht="17" thickBot="1" x14ac:dyDescent="0.4">
      <c r="A8" s="4">
        <v>80</v>
      </c>
      <c r="B8" s="5">
        <v>0.72699999999999998</v>
      </c>
      <c r="C8" s="5">
        <v>6.5000000000000002E-2</v>
      </c>
      <c r="D8" s="5">
        <v>3.0000000000000001E-3</v>
      </c>
      <c r="E8" s="5">
        <v>1.845</v>
      </c>
      <c r="H8" s="4">
        <v>80</v>
      </c>
      <c r="I8" s="5">
        <v>11.442</v>
      </c>
      <c r="J8" s="5">
        <v>0.33300000000000002</v>
      </c>
      <c r="K8" s="5">
        <v>6.0000000000000001E-3</v>
      </c>
      <c r="L8" s="5">
        <v>1.845</v>
      </c>
    </row>
    <row r="9" spans="1:12" ht="17" thickBot="1" x14ac:dyDescent="0.4">
      <c r="A9" s="4">
        <v>100</v>
      </c>
      <c r="B9" s="5">
        <v>5.0199999999999995E-4</v>
      </c>
      <c r="C9" s="5">
        <v>0</v>
      </c>
      <c r="D9" s="5">
        <v>99.989000000000004</v>
      </c>
      <c r="E9" s="5">
        <v>0</v>
      </c>
      <c r="H9" s="4">
        <v>100</v>
      </c>
      <c r="I9" s="5">
        <v>11.429</v>
      </c>
      <c r="J9" s="5">
        <v>0.35</v>
      </c>
      <c r="K9" s="5">
        <v>6.0000000000000001E-3</v>
      </c>
      <c r="L9" s="5">
        <v>1.845</v>
      </c>
    </row>
    <row r="10" spans="1:12" ht="17" thickBot="1" x14ac:dyDescent="0.4">
      <c r="A10" s="4">
        <v>120</v>
      </c>
      <c r="B10" s="5">
        <v>5.0199999999999995E-4</v>
      </c>
      <c r="C10" s="5">
        <v>0</v>
      </c>
      <c r="D10" s="5">
        <v>99.989000000000004</v>
      </c>
      <c r="E10" s="5">
        <v>0</v>
      </c>
      <c r="H10" s="4">
        <v>120</v>
      </c>
      <c r="I10" s="5">
        <v>11.122999999999999</v>
      </c>
      <c r="J10" s="5">
        <v>0.25700000000000001</v>
      </c>
      <c r="K10" s="5">
        <v>6.0000000000000001E-3</v>
      </c>
      <c r="L10" s="5">
        <v>1.845</v>
      </c>
    </row>
    <row r="11" spans="1:12" ht="17" thickBot="1" x14ac:dyDescent="0.4">
      <c r="A11" s="4">
        <v>140</v>
      </c>
      <c r="B11" s="5">
        <v>5.0199999999999995E-4</v>
      </c>
      <c r="C11" s="5">
        <v>0</v>
      </c>
      <c r="D11" s="5">
        <v>99.989000000000004</v>
      </c>
      <c r="E11" s="5">
        <v>0</v>
      </c>
      <c r="H11" s="4">
        <v>140</v>
      </c>
      <c r="I11" s="5">
        <v>10.898</v>
      </c>
      <c r="J11" s="5">
        <v>0.115</v>
      </c>
      <c r="K11" s="5">
        <v>6.0000000000000001E-3</v>
      </c>
      <c r="L11" s="5">
        <v>1.845</v>
      </c>
    </row>
    <row r="12" spans="1:12" ht="17" thickBot="1" x14ac:dyDescent="0.4">
      <c r="A12" s="4">
        <v>160</v>
      </c>
      <c r="B12" s="5">
        <v>5.0199999999999995E-4</v>
      </c>
      <c r="C12" s="5">
        <v>0</v>
      </c>
      <c r="D12" s="5">
        <v>99.989000000000004</v>
      </c>
      <c r="E12" s="5">
        <v>0</v>
      </c>
      <c r="H12" s="4">
        <v>160</v>
      </c>
      <c r="I12" s="5">
        <v>11.43</v>
      </c>
      <c r="J12" s="5">
        <v>0.35</v>
      </c>
      <c r="K12" s="5">
        <v>6.0000000000000001E-3</v>
      </c>
      <c r="L12" s="5">
        <v>1.845</v>
      </c>
    </row>
    <row r="13" spans="1:12" ht="17" thickBot="1" x14ac:dyDescent="0.4">
      <c r="A13" s="4">
        <v>180</v>
      </c>
      <c r="B13" s="5">
        <v>5.0199999999999995E-4</v>
      </c>
      <c r="C13" s="5">
        <v>0</v>
      </c>
      <c r="D13" s="5">
        <v>99.989000000000004</v>
      </c>
      <c r="E13" s="5">
        <v>0</v>
      </c>
      <c r="H13" s="4">
        <v>180</v>
      </c>
      <c r="I13" s="5">
        <v>11.023999999999999</v>
      </c>
      <c r="J13" s="5">
        <v>0.16500000000000001</v>
      </c>
      <c r="K13" s="5">
        <v>8.0000000000000002E-3</v>
      </c>
      <c r="L13" s="5">
        <v>1.845</v>
      </c>
    </row>
    <row r="14" spans="1:12" ht="17" thickBot="1" x14ac:dyDescent="0.4">
      <c r="A14" s="4">
        <v>200</v>
      </c>
      <c r="B14" s="5">
        <v>5.0199999999999995E-4</v>
      </c>
      <c r="C14" s="5">
        <v>0</v>
      </c>
      <c r="D14" s="5">
        <v>99.989000000000004</v>
      </c>
      <c r="E14" s="5">
        <v>0</v>
      </c>
      <c r="H14" s="4">
        <v>200</v>
      </c>
      <c r="I14" s="5">
        <v>11.067</v>
      </c>
      <c r="J14" s="5">
        <v>0.188</v>
      </c>
      <c r="K14" s="5">
        <v>3.0000000000000001E-3</v>
      </c>
      <c r="L14" s="5">
        <v>1.845</v>
      </c>
    </row>
    <row r="15" spans="1:12" x14ac:dyDescent="0.35">
      <c r="B15" t="s">
        <v>831</v>
      </c>
      <c r="C15" t="s">
        <v>831</v>
      </c>
      <c r="D15" t="s">
        <v>832</v>
      </c>
      <c r="E15" t="s">
        <v>833</v>
      </c>
      <c r="I15" t="s">
        <v>831</v>
      </c>
      <c r="J15" t="s">
        <v>831</v>
      </c>
      <c r="K15" t="s">
        <v>832</v>
      </c>
      <c r="L15" t="s">
        <v>833</v>
      </c>
    </row>
    <row r="17" spans="1:8" x14ac:dyDescent="0.35">
      <c r="A17" t="s">
        <v>827</v>
      </c>
      <c r="H17" t="s">
        <v>828</v>
      </c>
    </row>
    <row r="34" spans="1:10" ht="43.5" x14ac:dyDescent="0.35">
      <c r="A34" s="12" t="s">
        <v>932</v>
      </c>
      <c r="B34" s="12" t="s">
        <v>933</v>
      </c>
      <c r="C34" s="12" t="s">
        <v>934</v>
      </c>
      <c r="D34" s="12" t="s">
        <v>935</v>
      </c>
      <c r="G34" s="12" t="s">
        <v>932</v>
      </c>
      <c r="H34" s="12" t="s">
        <v>933</v>
      </c>
      <c r="I34" s="12" t="s">
        <v>934</v>
      </c>
      <c r="J34" s="12" t="s">
        <v>935</v>
      </c>
    </row>
    <row r="35" spans="1:10" ht="145" x14ac:dyDescent="0.35">
      <c r="A35" s="14" t="s">
        <v>936</v>
      </c>
      <c r="B35" s="13" t="s">
        <v>937</v>
      </c>
      <c r="C35" s="13" t="s">
        <v>938</v>
      </c>
      <c r="D35" s="13" t="s">
        <v>939</v>
      </c>
      <c r="G35" s="14" t="s">
        <v>936</v>
      </c>
      <c r="H35" s="13" t="s">
        <v>937</v>
      </c>
      <c r="I35" s="13" t="s">
        <v>938</v>
      </c>
      <c r="J35" s="13" t="s">
        <v>939</v>
      </c>
    </row>
    <row r="36" spans="1:10" ht="217.5" x14ac:dyDescent="0.35">
      <c r="A36" s="14" t="s">
        <v>940</v>
      </c>
      <c r="B36" s="14" t="s">
        <v>941</v>
      </c>
      <c r="C36" s="13" t="s">
        <v>942</v>
      </c>
      <c r="D36" s="13" t="s">
        <v>943</v>
      </c>
      <c r="G36" s="14" t="s">
        <v>940</v>
      </c>
      <c r="H36" s="14" t="s">
        <v>941</v>
      </c>
      <c r="I36" s="13" t="s">
        <v>942</v>
      </c>
      <c r="J36" s="13" t="s">
        <v>943</v>
      </c>
    </row>
    <row r="37" spans="1:10" ht="246.5" x14ac:dyDescent="0.35">
      <c r="A37" s="14" t="s">
        <v>944</v>
      </c>
      <c r="B37" s="13" t="s">
        <v>945</v>
      </c>
      <c r="C37" s="13" t="s">
        <v>946</v>
      </c>
      <c r="D37" s="13" t="s">
        <v>947</v>
      </c>
      <c r="G37" s="14" t="s">
        <v>944</v>
      </c>
      <c r="H37" s="13" t="s">
        <v>945</v>
      </c>
      <c r="I37" s="13" t="s">
        <v>946</v>
      </c>
      <c r="J37" s="13" t="s">
        <v>947</v>
      </c>
    </row>
    <row r="38" spans="1:10" ht="217.5" x14ac:dyDescent="0.35">
      <c r="A38" s="14" t="s">
        <v>948</v>
      </c>
      <c r="B38" s="14" t="s">
        <v>949</v>
      </c>
      <c r="C38" s="13" t="s">
        <v>950</v>
      </c>
      <c r="D38" s="13" t="s">
        <v>951</v>
      </c>
      <c r="G38" s="14" t="s">
        <v>948</v>
      </c>
      <c r="H38" s="14" t="s">
        <v>949</v>
      </c>
      <c r="I38" s="13" t="s">
        <v>950</v>
      </c>
      <c r="J38" s="13" t="s">
        <v>951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D2CA9-E05F-4B2F-9BB5-6140A192F8FE}">
  <dimension ref="A1:N73"/>
  <sheetViews>
    <sheetView zoomScale="64" workbookViewId="0">
      <selection activeCell="G8" sqref="G8"/>
    </sheetView>
  </sheetViews>
  <sheetFormatPr defaultRowHeight="14.5" x14ac:dyDescent="0.35"/>
  <sheetData>
    <row r="1" spans="1:14" ht="66.5" thickBot="1" x14ac:dyDescent="0.4">
      <c r="A1" s="3" t="s">
        <v>841</v>
      </c>
      <c r="B1" s="3" t="s">
        <v>829</v>
      </c>
      <c r="C1" s="3" t="s">
        <v>837</v>
      </c>
      <c r="D1" s="3" t="s">
        <v>838</v>
      </c>
      <c r="E1" s="3" t="s">
        <v>839</v>
      </c>
      <c r="I1" s="3" t="s">
        <v>841</v>
      </c>
      <c r="J1" s="3" t="s">
        <v>830</v>
      </c>
      <c r="K1" s="3" t="s">
        <v>834</v>
      </c>
      <c r="L1" s="3" t="s">
        <v>835</v>
      </c>
      <c r="M1" s="3" t="s">
        <v>836</v>
      </c>
    </row>
    <row r="2" spans="1:14" ht="17" thickBot="1" x14ac:dyDescent="0.4">
      <c r="A2" s="6">
        <v>20</v>
      </c>
      <c r="B2" s="7">
        <v>8.2360000000000007</v>
      </c>
      <c r="C2" s="7">
        <v>0.218</v>
      </c>
      <c r="D2" s="7">
        <v>11.422000000000001</v>
      </c>
      <c r="E2" s="7">
        <v>8.9909999999999997</v>
      </c>
      <c r="I2" s="15">
        <v>20</v>
      </c>
      <c r="J2" s="16">
        <v>8.5981500000000004</v>
      </c>
      <c r="K2" s="16">
        <v>0.22714000000000001</v>
      </c>
      <c r="L2" s="16">
        <v>13.860300000000001</v>
      </c>
      <c r="M2" s="16">
        <v>8.74315</v>
      </c>
    </row>
    <row r="3" spans="1:14" ht="17" thickBot="1" x14ac:dyDescent="0.4">
      <c r="A3" s="4">
        <v>22</v>
      </c>
      <c r="B3" s="5">
        <v>8.9429999999999996</v>
      </c>
      <c r="C3" s="5">
        <v>0.23799999999999999</v>
      </c>
      <c r="D3" s="5">
        <v>9.9090000000000007</v>
      </c>
      <c r="E3" s="5">
        <v>6.9130000000000003</v>
      </c>
      <c r="I3" s="8">
        <v>22</v>
      </c>
      <c r="J3" s="9">
        <v>8.5981500000000004</v>
      </c>
      <c r="K3" s="9">
        <v>0.22714000000000001</v>
      </c>
      <c r="L3" s="9">
        <v>13.860300000000001</v>
      </c>
      <c r="M3" s="9">
        <v>8.74315</v>
      </c>
    </row>
    <row r="4" spans="1:14" ht="17" thickBot="1" x14ac:dyDescent="0.4">
      <c r="A4" s="4">
        <v>24</v>
      </c>
      <c r="B4" s="5">
        <v>8.8620000000000001</v>
      </c>
      <c r="C4" s="5">
        <v>0.23699999999999999</v>
      </c>
      <c r="D4" s="5">
        <v>8.61</v>
      </c>
      <c r="E4" s="5">
        <v>7.968</v>
      </c>
      <c r="I4" s="8">
        <v>24</v>
      </c>
      <c r="J4" s="9">
        <v>8.5981500000000004</v>
      </c>
      <c r="K4" s="9">
        <v>0.22714000000000001</v>
      </c>
      <c r="L4" s="9">
        <v>13.860300000000001</v>
      </c>
      <c r="M4" s="9">
        <v>8.74315</v>
      </c>
    </row>
    <row r="5" spans="1:14" ht="17" thickBot="1" x14ac:dyDescent="0.4">
      <c r="A5" s="4">
        <v>26</v>
      </c>
      <c r="B5" s="5">
        <v>8.0269999999999992</v>
      </c>
      <c r="C5" s="5">
        <v>0.22900000000000001</v>
      </c>
      <c r="D5" s="5">
        <v>10.308999999999999</v>
      </c>
      <c r="E5" s="5">
        <v>8.3190000000000008</v>
      </c>
      <c r="I5" s="8">
        <v>26</v>
      </c>
      <c r="J5" s="9">
        <v>8.5981500000000004</v>
      </c>
      <c r="K5" s="9">
        <v>0.22714000000000001</v>
      </c>
      <c r="L5" s="9">
        <v>13.860300000000001</v>
      </c>
      <c r="M5" s="9">
        <v>8.74315</v>
      </c>
    </row>
    <row r="6" spans="1:14" x14ac:dyDescent="0.35">
      <c r="C6" t="s">
        <v>831</v>
      </c>
      <c r="D6" t="s">
        <v>831</v>
      </c>
      <c r="E6" t="s">
        <v>832</v>
      </c>
      <c r="F6" t="s">
        <v>833</v>
      </c>
      <c r="K6" t="s">
        <v>831</v>
      </c>
      <c r="L6" t="s">
        <v>831</v>
      </c>
      <c r="M6" t="s">
        <v>832</v>
      </c>
      <c r="N6" t="s">
        <v>833</v>
      </c>
    </row>
    <row r="8" spans="1:14" x14ac:dyDescent="0.35">
      <c r="B8" t="s">
        <v>827</v>
      </c>
      <c r="J8" t="s">
        <v>828</v>
      </c>
    </row>
    <row r="11" spans="1:14" ht="15" thickBot="1" x14ac:dyDescent="0.4"/>
    <row r="12" spans="1:14" ht="66.5" thickBot="1" x14ac:dyDescent="0.4">
      <c r="A12" s="2" t="s">
        <v>840</v>
      </c>
      <c r="B12" s="3" t="s">
        <v>841</v>
      </c>
      <c r="C12" s="3" t="s">
        <v>829</v>
      </c>
      <c r="D12" s="3" t="s">
        <v>837</v>
      </c>
      <c r="E12" s="3" t="s">
        <v>838</v>
      </c>
      <c r="F12" s="3" t="s">
        <v>839</v>
      </c>
      <c r="I12" s="2" t="s">
        <v>840</v>
      </c>
      <c r="J12" s="3" t="s">
        <v>841</v>
      </c>
      <c r="K12" s="3" t="s">
        <v>830</v>
      </c>
      <c r="L12" s="3" t="s">
        <v>834</v>
      </c>
      <c r="M12" s="3" t="s">
        <v>835</v>
      </c>
      <c r="N12" s="3" t="s">
        <v>836</v>
      </c>
    </row>
    <row r="13" spans="1:14" ht="17" thickBot="1" x14ac:dyDescent="0.4">
      <c r="A13" s="6">
        <v>30</v>
      </c>
      <c r="B13" s="7">
        <v>20</v>
      </c>
      <c r="C13" s="7">
        <v>8.4529999999999994</v>
      </c>
      <c r="D13" s="7">
        <v>0.221</v>
      </c>
      <c r="E13" s="7">
        <v>13.284000000000001</v>
      </c>
      <c r="F13" s="7">
        <v>8.8019999999999996</v>
      </c>
      <c r="I13" s="6">
        <v>30</v>
      </c>
      <c r="J13" s="7">
        <v>20</v>
      </c>
      <c r="K13" s="7">
        <v>8.5980000000000008</v>
      </c>
      <c r="L13" s="7">
        <v>0.22700000000000001</v>
      </c>
      <c r="M13" s="7">
        <v>13.86</v>
      </c>
      <c r="N13" s="7">
        <v>8.7430000000000003</v>
      </c>
    </row>
    <row r="14" spans="1:14" ht="17" thickBot="1" x14ac:dyDescent="0.4">
      <c r="A14" s="4">
        <v>30</v>
      </c>
      <c r="B14" s="5">
        <v>22</v>
      </c>
      <c r="C14" s="5">
        <v>20.457999999999998</v>
      </c>
      <c r="D14" s="5">
        <v>0.27400000000000002</v>
      </c>
      <c r="E14" s="5">
        <v>75.078000000000003</v>
      </c>
      <c r="F14" s="5">
        <v>5.0830000000000002</v>
      </c>
      <c r="I14" s="4">
        <v>30</v>
      </c>
      <c r="J14" s="5">
        <v>22</v>
      </c>
      <c r="K14" s="5">
        <v>8.5980000000000008</v>
      </c>
      <c r="L14" s="5">
        <v>0.22700000000000001</v>
      </c>
      <c r="M14" s="5">
        <v>13.86</v>
      </c>
      <c r="N14" s="5">
        <v>8.7430000000000003</v>
      </c>
    </row>
    <row r="15" spans="1:14" ht="17" thickBot="1" x14ac:dyDescent="0.4">
      <c r="A15" s="4">
        <v>30</v>
      </c>
      <c r="B15" s="5">
        <v>24</v>
      </c>
      <c r="C15" s="5">
        <v>8.2680000000000007</v>
      </c>
      <c r="D15" s="5">
        <v>0.216</v>
      </c>
      <c r="E15" s="5">
        <v>11.619</v>
      </c>
      <c r="F15" s="5">
        <v>8.9710000000000001</v>
      </c>
      <c r="I15" s="4">
        <v>30</v>
      </c>
      <c r="J15" s="5">
        <v>24</v>
      </c>
      <c r="K15" s="5">
        <v>24.658999999999999</v>
      </c>
      <c r="L15" s="5">
        <v>0.251</v>
      </c>
      <c r="M15" s="5">
        <v>49.524000000000001</v>
      </c>
      <c r="N15" s="5">
        <v>7.7229999999999999</v>
      </c>
    </row>
    <row r="16" spans="1:14" ht="17" thickBot="1" x14ac:dyDescent="0.4">
      <c r="A16" s="4">
        <v>30</v>
      </c>
      <c r="B16" s="5">
        <v>26</v>
      </c>
      <c r="C16" s="5">
        <v>12.263</v>
      </c>
      <c r="D16" s="5">
        <v>0.248</v>
      </c>
      <c r="E16" s="5">
        <v>33.008000000000003</v>
      </c>
      <c r="F16" s="5">
        <v>6.5279999999999996</v>
      </c>
      <c r="I16" s="4">
        <v>30</v>
      </c>
      <c r="J16" s="5">
        <v>26</v>
      </c>
      <c r="K16" s="5">
        <v>10.855</v>
      </c>
      <c r="L16" s="5">
        <v>0.23200000000000001</v>
      </c>
      <c r="M16" s="5">
        <v>15.83</v>
      </c>
      <c r="N16" s="5">
        <v>8.5429999999999993</v>
      </c>
    </row>
    <row r="17" spans="1:14" ht="17" thickBot="1" x14ac:dyDescent="0.4">
      <c r="A17" s="4">
        <v>32</v>
      </c>
      <c r="B17" s="5">
        <v>20</v>
      </c>
      <c r="C17" s="5">
        <v>8.2569999999999997</v>
      </c>
      <c r="D17" s="5">
        <v>0.219</v>
      </c>
      <c r="E17" s="5">
        <v>12.037000000000001</v>
      </c>
      <c r="F17" s="5">
        <v>8.9280000000000008</v>
      </c>
      <c r="I17" s="4">
        <v>32</v>
      </c>
      <c r="J17" s="5">
        <v>20</v>
      </c>
      <c r="K17" s="5">
        <v>60.845999999999997</v>
      </c>
      <c r="L17" s="5">
        <v>0.23200000000000001</v>
      </c>
      <c r="M17" s="5">
        <v>18.154</v>
      </c>
      <c r="N17" s="5">
        <v>8.3070000000000004</v>
      </c>
    </row>
    <row r="18" spans="1:14" ht="17" thickBot="1" x14ac:dyDescent="0.4">
      <c r="A18" s="4">
        <v>32</v>
      </c>
      <c r="B18" s="5">
        <v>22</v>
      </c>
      <c r="C18" s="5">
        <v>8.125</v>
      </c>
      <c r="D18" s="5">
        <v>0.215</v>
      </c>
      <c r="E18" s="5">
        <v>10.444000000000001</v>
      </c>
      <c r="F18" s="5">
        <v>9.09</v>
      </c>
      <c r="I18" s="4">
        <v>32</v>
      </c>
      <c r="J18" s="5">
        <v>22</v>
      </c>
      <c r="K18" s="5">
        <v>8.5980000000000008</v>
      </c>
      <c r="L18" s="5">
        <v>0.22700000000000001</v>
      </c>
      <c r="M18" s="5">
        <v>13.86</v>
      </c>
      <c r="N18" s="5">
        <v>8.7430000000000003</v>
      </c>
    </row>
    <row r="19" spans="1:14" ht="17" thickBot="1" x14ac:dyDescent="0.4">
      <c r="A19" s="4">
        <v>32</v>
      </c>
      <c r="B19" s="5">
        <v>24</v>
      </c>
      <c r="C19" s="5">
        <v>8.0690000000000008</v>
      </c>
      <c r="D19" s="5">
        <v>0.215</v>
      </c>
      <c r="E19" s="5">
        <v>9.7799999999999994</v>
      </c>
      <c r="F19" s="5">
        <v>9.157</v>
      </c>
      <c r="I19" s="4">
        <v>32</v>
      </c>
      <c r="J19" s="5">
        <v>24</v>
      </c>
      <c r="K19" s="5">
        <v>8.5980000000000008</v>
      </c>
      <c r="L19" s="5">
        <v>0.22700000000000001</v>
      </c>
      <c r="M19" s="5">
        <v>13.86</v>
      </c>
      <c r="N19" s="5">
        <v>8.7430000000000003</v>
      </c>
    </row>
    <row r="20" spans="1:14" ht="17" thickBot="1" x14ac:dyDescent="0.4">
      <c r="A20" s="4">
        <v>32</v>
      </c>
      <c r="B20" s="5">
        <v>26</v>
      </c>
      <c r="C20" s="5">
        <v>7.9480000000000004</v>
      </c>
      <c r="D20" s="5">
        <v>0.21299999999999999</v>
      </c>
      <c r="E20" s="5">
        <v>8.5399999999999991</v>
      </c>
      <c r="F20" s="5">
        <v>9.2829999999999995</v>
      </c>
      <c r="I20" s="4">
        <v>32</v>
      </c>
      <c r="J20" s="5">
        <v>26</v>
      </c>
      <c r="K20" s="5">
        <v>33.923999999999999</v>
      </c>
      <c r="L20" s="5">
        <v>0.255</v>
      </c>
      <c r="M20" s="5">
        <v>37.643000000000001</v>
      </c>
      <c r="N20" s="5">
        <v>7.6269999999999998</v>
      </c>
    </row>
    <row r="21" spans="1:14" ht="17" thickBot="1" x14ac:dyDescent="0.4">
      <c r="A21" s="4">
        <v>34</v>
      </c>
      <c r="B21" s="5">
        <v>20</v>
      </c>
      <c r="C21" s="5">
        <v>8.3930000000000007</v>
      </c>
      <c r="D21" s="5">
        <v>0.218</v>
      </c>
      <c r="E21" s="5">
        <v>12.589</v>
      </c>
      <c r="F21" s="5">
        <v>8.8719999999999999</v>
      </c>
      <c r="I21" s="4">
        <v>34</v>
      </c>
      <c r="J21" s="5">
        <v>20</v>
      </c>
      <c r="K21" s="5">
        <v>8.5980000000000008</v>
      </c>
      <c r="L21" s="5">
        <v>0.22700000000000001</v>
      </c>
      <c r="M21" s="5">
        <v>13.86</v>
      </c>
      <c r="N21" s="5">
        <v>8.7430000000000003</v>
      </c>
    </row>
    <row r="22" spans="1:14" ht="17" thickBot="1" x14ac:dyDescent="0.4">
      <c r="A22" s="4">
        <v>34</v>
      </c>
      <c r="B22" s="5">
        <v>22</v>
      </c>
      <c r="C22" s="5">
        <v>8.3501999999999992</v>
      </c>
      <c r="D22" s="5">
        <v>0.21299999999999999</v>
      </c>
      <c r="E22" s="5">
        <v>11.997999999999999</v>
      </c>
      <c r="F22" s="5">
        <v>8.9860000000000007</v>
      </c>
      <c r="I22" s="4">
        <v>34</v>
      </c>
      <c r="J22" s="5">
        <v>22</v>
      </c>
      <c r="K22" s="5">
        <v>37.997999999999998</v>
      </c>
      <c r="L22" s="5">
        <v>0.24099999999999999</v>
      </c>
      <c r="M22" s="5">
        <v>20.472999999999999</v>
      </c>
      <c r="N22" s="5">
        <v>8.0980000000000008</v>
      </c>
    </row>
    <row r="23" spans="1:14" ht="17" thickBot="1" x14ac:dyDescent="0.4">
      <c r="A23" s="4">
        <v>34</v>
      </c>
      <c r="B23" s="5">
        <v>24</v>
      </c>
      <c r="C23" s="5">
        <v>8.093</v>
      </c>
      <c r="D23" s="5">
        <v>0.215</v>
      </c>
      <c r="E23" s="5">
        <v>9.9469999999999992</v>
      </c>
      <c r="F23" s="5">
        <v>9.14</v>
      </c>
      <c r="I23" s="4">
        <v>34</v>
      </c>
      <c r="J23" s="5">
        <v>24</v>
      </c>
      <c r="K23" s="5">
        <v>8.5980000000000008</v>
      </c>
      <c r="L23" s="5">
        <v>0.22700000000000001</v>
      </c>
      <c r="M23" s="5">
        <v>13.86</v>
      </c>
      <c r="N23" s="5">
        <v>8.7430000000000003</v>
      </c>
    </row>
    <row r="24" spans="1:14" ht="17" thickBot="1" x14ac:dyDescent="0.4">
      <c r="A24" s="4">
        <v>34</v>
      </c>
      <c r="B24" s="5">
        <v>26</v>
      </c>
      <c r="C24" s="5">
        <v>7.9790000000000001</v>
      </c>
      <c r="D24" s="5">
        <v>0.21299999999999999</v>
      </c>
      <c r="E24" s="5">
        <v>8.7360000000000007</v>
      </c>
      <c r="F24" s="5">
        <v>9.2629999999999999</v>
      </c>
      <c r="I24" s="4">
        <v>34</v>
      </c>
      <c r="J24" s="5">
        <v>26</v>
      </c>
      <c r="K24" s="5">
        <v>8.5980000000000008</v>
      </c>
      <c r="L24" s="5">
        <v>0.22700000000000001</v>
      </c>
      <c r="M24" s="5">
        <v>13.86</v>
      </c>
      <c r="N24" s="5">
        <v>8.7430000000000003</v>
      </c>
    </row>
    <row r="25" spans="1:14" ht="17" thickBot="1" x14ac:dyDescent="0.4">
      <c r="A25" s="4">
        <v>36</v>
      </c>
      <c r="B25" s="5">
        <v>20</v>
      </c>
      <c r="C25" s="5">
        <v>8.2360000000000007</v>
      </c>
      <c r="D25" s="5">
        <v>0.218</v>
      </c>
      <c r="E25" s="5">
        <v>11.422000000000001</v>
      </c>
      <c r="F25" s="5">
        <v>8.9909999999999997</v>
      </c>
      <c r="I25" s="8">
        <v>36</v>
      </c>
      <c r="J25" s="9">
        <v>20</v>
      </c>
      <c r="K25" s="9">
        <v>8.5981500000000004</v>
      </c>
      <c r="L25" s="9">
        <v>0.22714000000000001</v>
      </c>
      <c r="M25" s="9">
        <v>13.860300000000001</v>
      </c>
      <c r="N25" s="9">
        <v>8.74315</v>
      </c>
    </row>
    <row r="26" spans="1:14" ht="17" thickBot="1" x14ac:dyDescent="0.4">
      <c r="A26" s="4">
        <v>36</v>
      </c>
      <c r="B26" s="5">
        <v>22</v>
      </c>
      <c r="C26" s="5">
        <v>15.943</v>
      </c>
      <c r="D26" s="5">
        <v>0.23799999999999999</v>
      </c>
      <c r="E26" s="5">
        <v>73.909000000000006</v>
      </c>
      <c r="F26" s="5">
        <v>6.9130000000000003</v>
      </c>
      <c r="I26" s="8">
        <v>36</v>
      </c>
      <c r="J26" s="9">
        <v>22</v>
      </c>
      <c r="K26" s="9">
        <v>8.5981500000000004</v>
      </c>
      <c r="L26" s="9">
        <v>0.22714000000000001</v>
      </c>
      <c r="M26" s="9">
        <v>13.860300000000001</v>
      </c>
      <c r="N26" s="9">
        <v>8.74315</v>
      </c>
    </row>
    <row r="27" spans="1:14" ht="17" thickBot="1" x14ac:dyDescent="0.4">
      <c r="A27" s="4">
        <v>36</v>
      </c>
      <c r="B27" s="5">
        <v>24</v>
      </c>
      <c r="C27" s="5">
        <v>62.862000000000002</v>
      </c>
      <c r="D27" s="5">
        <v>0.23699999999999999</v>
      </c>
      <c r="E27" s="5">
        <v>66.61</v>
      </c>
      <c r="F27" s="5">
        <v>7.968</v>
      </c>
      <c r="I27" s="8">
        <v>36</v>
      </c>
      <c r="J27" s="9">
        <v>24</v>
      </c>
      <c r="K27" s="9">
        <v>8.5981500000000004</v>
      </c>
      <c r="L27" s="9">
        <v>0.22714000000000001</v>
      </c>
      <c r="M27" s="9">
        <v>13.860300000000001</v>
      </c>
      <c r="N27" s="9">
        <v>8.74315</v>
      </c>
    </row>
    <row r="28" spans="1:14" ht="17" thickBot="1" x14ac:dyDescent="0.4">
      <c r="A28" s="4">
        <v>36</v>
      </c>
      <c r="B28" s="5">
        <v>26</v>
      </c>
      <c r="C28" s="5">
        <v>42.027000000000001</v>
      </c>
      <c r="D28" s="5">
        <v>0.22900000000000001</v>
      </c>
      <c r="E28" s="5">
        <v>55.308999999999997</v>
      </c>
      <c r="F28" s="5">
        <v>8.3190000000000008</v>
      </c>
      <c r="I28" s="8">
        <v>36</v>
      </c>
      <c r="J28" s="9">
        <v>26</v>
      </c>
      <c r="K28" s="9">
        <v>8.5981500000000004</v>
      </c>
      <c r="L28" s="9">
        <v>0.22714000000000001</v>
      </c>
      <c r="M28" s="9">
        <v>13.860300000000001</v>
      </c>
      <c r="N28" s="9">
        <v>8.74315</v>
      </c>
    </row>
    <row r="29" spans="1:14" ht="17" thickBot="1" x14ac:dyDescent="0.4">
      <c r="A29" s="4">
        <v>38</v>
      </c>
      <c r="B29" s="5">
        <v>20</v>
      </c>
      <c r="C29" s="5">
        <v>8.3550000000000004</v>
      </c>
      <c r="D29" s="5">
        <v>0.219</v>
      </c>
      <c r="E29" s="5">
        <v>12.215999999999999</v>
      </c>
      <c r="F29" s="5">
        <v>8.91</v>
      </c>
      <c r="I29" s="8">
        <v>38</v>
      </c>
      <c r="J29" s="9">
        <v>20</v>
      </c>
      <c r="K29" s="9">
        <v>8.5981500000000004</v>
      </c>
      <c r="L29" s="9">
        <v>0.22714000000000001</v>
      </c>
      <c r="M29" s="9">
        <v>13.860300000000001</v>
      </c>
      <c r="N29" s="9">
        <v>8.74315</v>
      </c>
    </row>
    <row r="30" spans="1:14" ht="17" thickBot="1" x14ac:dyDescent="0.4">
      <c r="A30" s="4">
        <v>38</v>
      </c>
      <c r="B30" s="5">
        <v>22</v>
      </c>
      <c r="C30" s="5">
        <v>8.2170000000000005</v>
      </c>
      <c r="D30" s="5">
        <v>0.218</v>
      </c>
      <c r="E30" s="5">
        <v>11.51</v>
      </c>
      <c r="F30" s="5">
        <v>8.9819999999999993</v>
      </c>
      <c r="I30" s="8">
        <v>38</v>
      </c>
      <c r="J30" s="9">
        <v>22</v>
      </c>
      <c r="K30" s="9">
        <v>22.239599999999999</v>
      </c>
      <c r="L30" s="9">
        <v>0.24579400000000001</v>
      </c>
      <c r="M30" s="9">
        <v>35.5503</v>
      </c>
      <c r="N30" s="9">
        <v>7.96753</v>
      </c>
    </row>
    <row r="31" spans="1:14" ht="17" thickBot="1" x14ac:dyDescent="0.4">
      <c r="A31" s="4">
        <v>38</v>
      </c>
      <c r="B31" s="5">
        <v>24</v>
      </c>
      <c r="C31" s="5">
        <v>8.0690000000000008</v>
      </c>
      <c r="D31" s="5">
        <v>0.215</v>
      </c>
      <c r="E31" s="5">
        <v>9.6530000000000005</v>
      </c>
      <c r="F31" s="5">
        <v>9.17</v>
      </c>
      <c r="I31" s="8">
        <v>38</v>
      </c>
      <c r="J31" s="9">
        <v>24</v>
      </c>
      <c r="K31" s="9">
        <v>8.5981500000000004</v>
      </c>
      <c r="L31" s="9">
        <v>0.22714000000000001</v>
      </c>
      <c r="M31" s="9">
        <v>13.860300000000001</v>
      </c>
      <c r="N31" s="9">
        <v>8.74315</v>
      </c>
    </row>
    <row r="32" spans="1:14" ht="17" thickBot="1" x14ac:dyDescent="0.4">
      <c r="A32" s="4">
        <v>38</v>
      </c>
      <c r="B32" s="5">
        <v>26</v>
      </c>
      <c r="C32" s="5">
        <v>26.064</v>
      </c>
      <c r="D32" s="5">
        <v>0.24099999999999999</v>
      </c>
      <c r="E32" s="5">
        <v>9.5139999999999993</v>
      </c>
      <c r="F32" s="5">
        <v>8.5399999999999991</v>
      </c>
      <c r="I32" s="8">
        <v>38</v>
      </c>
      <c r="J32" s="9">
        <v>26</v>
      </c>
      <c r="K32" s="9">
        <v>8.5981500000000004</v>
      </c>
      <c r="L32" s="9">
        <v>0.22714000000000001</v>
      </c>
      <c r="M32" s="9">
        <v>13.860300000000001</v>
      </c>
      <c r="N32" s="9">
        <v>8.74315</v>
      </c>
    </row>
    <row r="33" spans="1:14" ht="17" thickBot="1" x14ac:dyDescent="0.4">
      <c r="A33" s="4">
        <v>40</v>
      </c>
      <c r="B33" s="5">
        <v>20</v>
      </c>
      <c r="C33" s="5">
        <v>8.2829999999999995</v>
      </c>
      <c r="D33" s="5">
        <v>0.218</v>
      </c>
      <c r="E33" s="5">
        <v>11.786</v>
      </c>
      <c r="F33" s="5">
        <v>8.9540000000000006</v>
      </c>
      <c r="I33" s="8">
        <v>40</v>
      </c>
      <c r="J33" s="9">
        <v>20</v>
      </c>
      <c r="K33" s="9">
        <v>8.5981500000000004</v>
      </c>
      <c r="L33" s="9">
        <v>0.22714000000000001</v>
      </c>
      <c r="M33" s="9">
        <v>13.860300000000001</v>
      </c>
      <c r="N33" s="9">
        <v>8.74315</v>
      </c>
    </row>
    <row r="34" spans="1:14" ht="17" thickBot="1" x14ac:dyDescent="0.4">
      <c r="A34" s="4">
        <v>40</v>
      </c>
      <c r="B34" s="5">
        <v>22</v>
      </c>
      <c r="C34" s="5">
        <v>29.071999999999999</v>
      </c>
      <c r="D34" s="5">
        <v>0.28699999999999998</v>
      </c>
      <c r="E34" s="5">
        <v>97.174999999999997</v>
      </c>
      <c r="F34" s="5">
        <v>5.0629999999999997</v>
      </c>
      <c r="I34" s="8">
        <v>40</v>
      </c>
      <c r="J34" s="9">
        <v>22</v>
      </c>
      <c r="K34" s="9">
        <v>24.904699999999998</v>
      </c>
      <c r="L34" s="9">
        <v>0.242456</v>
      </c>
      <c r="M34" s="9">
        <v>20.544</v>
      </c>
      <c r="N34" s="9">
        <v>8.0645600000000002</v>
      </c>
    </row>
    <row r="35" spans="1:14" ht="17" thickBot="1" x14ac:dyDescent="0.4">
      <c r="A35" s="4">
        <v>40</v>
      </c>
      <c r="B35" s="5">
        <v>24</v>
      </c>
      <c r="C35" s="5">
        <v>8.0500000000000007</v>
      </c>
      <c r="D35" s="5">
        <v>0.215</v>
      </c>
      <c r="E35" s="5">
        <v>9.5299999999999994</v>
      </c>
      <c r="F35" s="5">
        <v>9.1829999999999998</v>
      </c>
      <c r="I35" s="8">
        <v>40</v>
      </c>
      <c r="J35" s="9">
        <v>24</v>
      </c>
      <c r="K35" s="9">
        <v>8.5979299999999999</v>
      </c>
      <c r="L35" s="9">
        <v>0.227135</v>
      </c>
      <c r="M35" s="9">
        <v>13.8583</v>
      </c>
      <c r="N35" s="9">
        <v>8.7433499999999995</v>
      </c>
    </row>
    <row r="36" spans="1:14" ht="17" thickBot="1" x14ac:dyDescent="0.4">
      <c r="A36" s="4">
        <v>40</v>
      </c>
      <c r="B36" s="5">
        <v>26</v>
      </c>
      <c r="C36" s="5">
        <v>8.0269999999999992</v>
      </c>
      <c r="D36" s="5">
        <v>0.214</v>
      </c>
      <c r="E36" s="5">
        <v>9.1989999999999998</v>
      </c>
      <c r="F36" s="5">
        <v>9.2159999999999993</v>
      </c>
      <c r="I36" s="8">
        <v>40</v>
      </c>
      <c r="J36" s="9">
        <v>26</v>
      </c>
      <c r="K36" s="9">
        <v>8.5981500000000004</v>
      </c>
      <c r="L36" s="9">
        <v>0.22714000000000001</v>
      </c>
      <c r="M36" s="9">
        <v>13.860300000000001</v>
      </c>
      <c r="N36" s="9">
        <v>8.74315</v>
      </c>
    </row>
    <row r="37" spans="1:14" x14ac:dyDescent="0.35">
      <c r="C37" t="s">
        <v>831</v>
      </c>
      <c r="D37" t="s">
        <v>831</v>
      </c>
      <c r="E37" t="s">
        <v>832</v>
      </c>
      <c r="F37" t="s">
        <v>833</v>
      </c>
      <c r="K37" t="s">
        <v>831</v>
      </c>
      <c r="L37" t="s">
        <v>831</v>
      </c>
      <c r="M37" t="s">
        <v>832</v>
      </c>
      <c r="N37" t="s">
        <v>833</v>
      </c>
    </row>
    <row r="39" spans="1:14" x14ac:dyDescent="0.35">
      <c r="B39" t="s">
        <v>827</v>
      </c>
      <c r="J39" t="s">
        <v>828</v>
      </c>
    </row>
    <row r="69" spans="1:10" ht="72.5" x14ac:dyDescent="0.35">
      <c r="A69" s="12" t="s">
        <v>841</v>
      </c>
      <c r="B69" s="12" t="s">
        <v>933</v>
      </c>
      <c r="C69" s="12" t="s">
        <v>934</v>
      </c>
      <c r="D69" s="12" t="s">
        <v>935</v>
      </c>
      <c r="G69" s="12" t="s">
        <v>963</v>
      </c>
      <c r="H69" s="12" t="s">
        <v>913</v>
      </c>
      <c r="I69" s="12" t="s">
        <v>914</v>
      </c>
      <c r="J69" s="12" t="s">
        <v>915</v>
      </c>
    </row>
    <row r="70" spans="1:10" ht="290" x14ac:dyDescent="0.35">
      <c r="A70" s="14">
        <v>20</v>
      </c>
      <c r="B70" s="13" t="s">
        <v>952</v>
      </c>
      <c r="C70" s="13" t="s">
        <v>953</v>
      </c>
      <c r="D70" s="13" t="s">
        <v>954</v>
      </c>
      <c r="G70" s="14" t="s">
        <v>916</v>
      </c>
      <c r="H70" s="14" t="s">
        <v>964</v>
      </c>
      <c r="I70" s="13" t="s">
        <v>965</v>
      </c>
      <c r="J70" s="13" t="s">
        <v>966</v>
      </c>
    </row>
    <row r="71" spans="1:10" ht="203" x14ac:dyDescent="0.35">
      <c r="A71" s="14">
        <v>22</v>
      </c>
      <c r="B71" s="14" t="s">
        <v>955</v>
      </c>
      <c r="C71" s="13" t="s">
        <v>956</v>
      </c>
      <c r="D71" s="13" t="s">
        <v>957</v>
      </c>
      <c r="G71" s="14" t="s">
        <v>920</v>
      </c>
      <c r="H71" s="14" t="s">
        <v>967</v>
      </c>
      <c r="I71" s="13" t="s">
        <v>968</v>
      </c>
      <c r="J71" s="13" t="s">
        <v>969</v>
      </c>
    </row>
    <row r="72" spans="1:10" ht="174" x14ac:dyDescent="0.35">
      <c r="A72" s="14">
        <v>24</v>
      </c>
      <c r="B72" s="13" t="s">
        <v>958</v>
      </c>
      <c r="C72" s="13" t="s">
        <v>959</v>
      </c>
      <c r="D72" s="13" t="s">
        <v>960</v>
      </c>
      <c r="G72" s="14" t="s">
        <v>924</v>
      </c>
      <c r="H72" s="13" t="s">
        <v>970</v>
      </c>
      <c r="I72" s="13" t="s">
        <v>971</v>
      </c>
      <c r="J72" s="13" t="s">
        <v>972</v>
      </c>
    </row>
    <row r="73" spans="1:10" ht="188.5" x14ac:dyDescent="0.35">
      <c r="A73" s="14">
        <v>26</v>
      </c>
      <c r="B73" s="13" t="s">
        <v>961</v>
      </c>
      <c r="C73" s="13" t="s">
        <v>959</v>
      </c>
      <c r="D73" s="13" t="s">
        <v>962</v>
      </c>
      <c r="G73" s="14" t="s">
        <v>928</v>
      </c>
      <c r="H73" s="13" t="s">
        <v>973</v>
      </c>
      <c r="I73" s="13" t="s">
        <v>974</v>
      </c>
      <c r="J73" s="13" t="s">
        <v>975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ns</vt:lpstr>
      <vt:lpstr>speed-old</vt:lpstr>
      <vt:lpstr>altitude-old</vt:lpstr>
      <vt:lpstr>speed-3.5G-UMa</vt:lpstr>
      <vt:lpstr>Sheet1</vt:lpstr>
      <vt:lpstr>speed-28G-UMi</vt:lpstr>
      <vt:lpstr>altitude-3.5-uma</vt:lpstr>
      <vt:lpstr>altitude-28-umi</vt:lpstr>
      <vt:lpstr>power-3.5-uma</vt:lpstr>
      <vt:lpstr>power-28-umi</vt:lpstr>
      <vt:lpstr>all</vt:lpstr>
      <vt:lpstr>slicing</vt:lpstr>
      <vt:lpstr>so sánh speed</vt:lpstr>
      <vt:lpstr>so sánh altitude</vt:lpstr>
      <vt:lpstr>so sánh power</vt:lpstr>
    </vt:vector>
  </TitlesOfParts>
  <Company>Ericsson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 Pham A</dc:creator>
  <cp:lastModifiedBy>Linh Pham A</cp:lastModifiedBy>
  <dcterms:created xsi:type="dcterms:W3CDTF">2025-12-20T12:58:49Z</dcterms:created>
  <dcterms:modified xsi:type="dcterms:W3CDTF">2026-01-28T17:33:00Z</dcterms:modified>
</cp:coreProperties>
</file>